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ravanigouddindu/Documents/Renewable energy case study/"/>
    </mc:Choice>
  </mc:AlternateContent>
  <xr:revisionPtr revIDLastSave="0" documentId="13_ncr:1_{FCFFC2D7-7775-0D49-8CCF-DCCE7DB98E09}" xr6:coauthVersionLast="47" xr6:coauthVersionMax="47" xr10:uidLastSave="{00000000-0000-0000-0000-000000000000}"/>
  <bookViews>
    <workbookView xWindow="0" yWindow="760" windowWidth="25220" windowHeight="18360" tabRatio="634" xr2:uid="{00000000-000D-0000-FFFF-FFFF00000000}"/>
  </bookViews>
  <sheets>
    <sheet name="Cover Page" sheetId="7" r:id="rId1"/>
    <sheet name="Solar Model" sheetId="6" r:id="rId2"/>
  </sheets>
  <definedNames>
    <definedName name="CIQWBGuid" localSheetId="0" hidden="1">"2cd8126d-26c3-430c-b7fa-a069e3a1fc62"</definedName>
    <definedName name="CIQWBGuid" hidden="1">"3a76856e-063b-4329-b2c5-ae285df6792b"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'Cover Page'!$A$1:$P$26</definedName>
    <definedName name="_xlnm.Print_Titles" localSheetId="1">'Solar Model'!$5:$8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9" i="6" l="1"/>
  <c r="G134" i="6"/>
  <c r="G129" i="6"/>
  <c r="G124" i="6"/>
  <c r="G119" i="6"/>
  <c r="E173" i="6"/>
  <c r="G79" i="6"/>
  <c r="G69" i="6"/>
  <c r="G61" i="6"/>
  <c r="G53" i="6"/>
  <c r="G49" i="6"/>
  <c r="F24" i="6"/>
  <c r="L12" i="6"/>
  <c r="G225" i="6" l="1"/>
  <c r="G226" i="6"/>
  <c r="G227" i="6"/>
  <c r="G228" i="6"/>
  <c r="G233" i="6" s="1"/>
  <c r="G229" i="6"/>
  <c r="G230" i="6"/>
  <c r="G231" i="6"/>
  <c r="G232" i="6"/>
  <c r="G224" i="6"/>
  <c r="E225" i="6"/>
  <c r="E226" i="6"/>
  <c r="E227" i="6"/>
  <c r="E228" i="6"/>
  <c r="E229" i="6"/>
  <c r="E230" i="6"/>
  <c r="E231" i="6"/>
  <c r="E232" i="6"/>
  <c r="E224" i="6"/>
  <c r="G206" i="6"/>
  <c r="G207" i="6" s="1"/>
  <c r="G208" i="6" s="1"/>
  <c r="G209" i="6" s="1"/>
  <c r="G210" i="6" s="1"/>
  <c r="G211" i="6" s="1"/>
  <c r="G212" i="6" s="1"/>
  <c r="I204" i="6"/>
  <c r="J204" i="6" s="1"/>
  <c r="K204" i="6" s="1"/>
  <c r="L204" i="6" s="1"/>
  <c r="I190" i="6"/>
  <c r="J190" i="6" s="1"/>
  <c r="K190" i="6" s="1"/>
  <c r="L190" i="6" s="1"/>
  <c r="G192" i="6"/>
  <c r="G193" i="6" s="1"/>
  <c r="G194" i="6" s="1"/>
  <c r="G195" i="6" s="1"/>
  <c r="G196" i="6" s="1"/>
  <c r="G197" i="6" s="1"/>
  <c r="G198" i="6" s="1"/>
  <c r="G199" i="6" s="1"/>
  <c r="F2" i="6"/>
  <c r="D114" i="6"/>
  <c r="C113" i="6"/>
  <c r="C112" i="6"/>
  <c r="D116" i="6"/>
  <c r="C116" i="6"/>
  <c r="D115" i="6"/>
  <c r="C115" i="6"/>
  <c r="C114" i="6"/>
  <c r="D113" i="6"/>
  <c r="D112" i="6"/>
  <c r="I85" i="6"/>
  <c r="J85" i="6"/>
  <c r="K85" i="6"/>
  <c r="Q85" i="6"/>
  <c r="R85" i="6"/>
  <c r="S85" i="6"/>
  <c r="Y85" i="6"/>
  <c r="Z85" i="6"/>
  <c r="AA85" i="6"/>
  <c r="AG85" i="6"/>
  <c r="AH85" i="6"/>
  <c r="AI85" i="6"/>
  <c r="H91" i="6"/>
  <c r="I91" i="6"/>
  <c r="L91" i="6"/>
  <c r="M91" i="6"/>
  <c r="N91" i="6"/>
  <c r="P91" i="6"/>
  <c r="Q91" i="6"/>
  <c r="T91" i="6"/>
  <c r="U91" i="6"/>
  <c r="V91" i="6"/>
  <c r="X91" i="6"/>
  <c r="Y91" i="6"/>
  <c r="AB91" i="6"/>
  <c r="AC91" i="6"/>
  <c r="AD91" i="6"/>
  <c r="AF91" i="6"/>
  <c r="AG91" i="6"/>
  <c r="AJ91" i="6"/>
  <c r="G91" i="6"/>
  <c r="G85" i="6"/>
  <c r="F91" i="6"/>
  <c r="J91" i="6" s="1"/>
  <c r="F85" i="6"/>
  <c r="N85" i="6" s="1"/>
  <c r="F78" i="6"/>
  <c r="G78" i="6" s="1"/>
  <c r="R40" i="6"/>
  <c r="R41" i="6"/>
  <c r="C35" i="6"/>
  <c r="F25" i="6"/>
  <c r="F32" i="6"/>
  <c r="F31" i="6"/>
  <c r="F30" i="6"/>
  <c r="F29" i="6"/>
  <c r="F28" i="6"/>
  <c r="F27" i="6"/>
  <c r="F26" i="6"/>
  <c r="Q17" i="6"/>
  <c r="O17" i="6"/>
  <c r="O18" i="6" s="1"/>
  <c r="P18" i="6" s="1"/>
  <c r="Q11" i="6"/>
  <c r="L13" i="6"/>
  <c r="M13" i="6"/>
  <c r="L14" i="6"/>
  <c r="M14" i="6"/>
  <c r="L15" i="6"/>
  <c r="M15" i="6"/>
  <c r="L16" i="6"/>
  <c r="M16" i="6"/>
  <c r="L17" i="6"/>
  <c r="M17" i="6"/>
  <c r="L18" i="6"/>
  <c r="M18" i="6"/>
  <c r="L20" i="6"/>
  <c r="M20" i="6"/>
  <c r="M12" i="6"/>
  <c r="G2" i="6"/>
  <c r="H2" i="6" s="1"/>
  <c r="I2" i="6" s="1"/>
  <c r="I216" i="6" s="1"/>
  <c r="A116" i="6"/>
  <c r="A138" i="6" s="1"/>
  <c r="A115" i="6"/>
  <c r="A133" i="6" s="1"/>
  <c r="A114" i="6"/>
  <c r="A128" i="6" s="1"/>
  <c r="A113" i="6"/>
  <c r="A123" i="6" s="1"/>
  <c r="A112" i="6"/>
  <c r="A118" i="6" s="1"/>
  <c r="D111" i="6"/>
  <c r="C111" i="6"/>
  <c r="A105" i="6"/>
  <c r="A104" i="6"/>
  <c r="A96" i="6"/>
  <c r="A91" i="6"/>
  <c r="A85" i="6"/>
  <c r="A82" i="6"/>
  <c r="A90" i="6" s="1"/>
  <c r="A81" i="6"/>
  <c r="A84" i="6" s="1"/>
  <c r="A69" i="6"/>
  <c r="A68" i="6"/>
  <c r="A67" i="6"/>
  <c r="A66" i="6"/>
  <c r="A65" i="6"/>
  <c r="A64" i="6"/>
  <c r="A63" i="6"/>
  <c r="A62" i="6"/>
  <c r="A61" i="6"/>
  <c r="C15" i="7"/>
  <c r="AC85" i="6" l="1"/>
  <c r="U85" i="6"/>
  <c r="M85" i="6"/>
  <c r="AE91" i="6"/>
  <c r="W91" i="6"/>
  <c r="O91" i="6"/>
  <c r="AJ85" i="6"/>
  <c r="AB85" i="6"/>
  <c r="T85" i="6"/>
  <c r="L85" i="6"/>
  <c r="AI91" i="6"/>
  <c r="AA91" i="6"/>
  <c r="S91" i="6"/>
  <c r="K91" i="6"/>
  <c r="AF85" i="6"/>
  <c r="X85" i="6"/>
  <c r="P85" i="6"/>
  <c r="H85" i="6"/>
  <c r="H216" i="6"/>
  <c r="G216" i="6"/>
  <c r="G48" i="6"/>
  <c r="AH91" i="6"/>
  <c r="Z91" i="6"/>
  <c r="R91" i="6"/>
  <c r="AE85" i="6"/>
  <c r="W85" i="6"/>
  <c r="O85" i="6"/>
  <c r="AD85" i="6"/>
  <c r="V85" i="6"/>
  <c r="Q18" i="6"/>
  <c r="J2" i="6"/>
  <c r="J216" i="6" s="1"/>
  <c r="I48" i="6"/>
  <c r="O19" i="6"/>
  <c r="P19" i="6" s="1"/>
  <c r="H78" i="6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H48" i="6"/>
  <c r="H79" i="6"/>
  <c r="I79" i="6"/>
  <c r="F33" i="6"/>
  <c r="Q19" i="6" l="1"/>
  <c r="Q20" i="6" s="1"/>
  <c r="Q21" i="6" s="1"/>
  <c r="Q22" i="6" s="1"/>
  <c r="Q23" i="6" s="1"/>
  <c r="Q24" i="6" s="1"/>
  <c r="Q25" i="6" s="1"/>
  <c r="Q26" i="6" s="1"/>
  <c r="Q27" i="6" s="1"/>
  <c r="Q28" i="6" s="1"/>
  <c r="R18" i="6"/>
  <c r="G90" i="6"/>
  <c r="G92" i="6" s="1"/>
  <c r="G164" i="6"/>
  <c r="G165" i="6" s="1"/>
  <c r="G56" i="6"/>
  <c r="H56" i="6"/>
  <c r="H49" i="6"/>
  <c r="G66" i="6"/>
  <c r="G67" i="6"/>
  <c r="G50" i="6"/>
  <c r="O20" i="6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I56" i="6"/>
  <c r="K2" i="6"/>
  <c r="K216" i="6" s="1"/>
  <c r="J48" i="6"/>
  <c r="J79" i="6"/>
  <c r="R19" i="6" l="1"/>
  <c r="R20" i="6" s="1"/>
  <c r="R21" i="6" s="1"/>
  <c r="R22" i="6" s="1"/>
  <c r="R23" i="6" s="1"/>
  <c r="R24" i="6" s="1"/>
  <c r="R25" i="6" s="1"/>
  <c r="R26" i="6" s="1"/>
  <c r="G64" i="6"/>
  <c r="G63" i="6"/>
  <c r="G68" i="6"/>
  <c r="G62" i="6"/>
  <c r="R27" i="6"/>
  <c r="H164" i="6"/>
  <c r="H165" i="6" s="1"/>
  <c r="H90" i="6"/>
  <c r="H92" i="6" s="1"/>
  <c r="H50" i="6"/>
  <c r="H53" i="6" s="1"/>
  <c r="H54" i="6" s="1"/>
  <c r="H66" i="6"/>
  <c r="H68" i="6"/>
  <c r="G54" i="6"/>
  <c r="Q29" i="6"/>
  <c r="R28" i="6"/>
  <c r="G65" i="6"/>
  <c r="I49" i="6"/>
  <c r="O38" i="6"/>
  <c r="P37" i="6"/>
  <c r="L2" i="6"/>
  <c r="L216" i="6" s="1"/>
  <c r="K48" i="6"/>
  <c r="P20" i="6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K79" i="6"/>
  <c r="H61" i="6" l="1"/>
  <c r="H63" i="6"/>
  <c r="H64" i="6"/>
  <c r="I164" i="6"/>
  <c r="I165" i="6" s="1"/>
  <c r="I90" i="6"/>
  <c r="I92" i="6" s="1"/>
  <c r="H67" i="6"/>
  <c r="J56" i="6"/>
  <c r="O39" i="6"/>
  <c r="P38" i="6"/>
  <c r="G70" i="6"/>
  <c r="G218" i="6" s="1"/>
  <c r="K56" i="6"/>
  <c r="M2" i="6"/>
  <c r="M216" i="6" s="1"/>
  <c r="L48" i="6"/>
  <c r="H62" i="6"/>
  <c r="H69" i="6" s="1"/>
  <c r="H70" i="6" s="1"/>
  <c r="Q30" i="6"/>
  <c r="R29" i="6"/>
  <c r="I50" i="6"/>
  <c r="I53" i="6" s="1"/>
  <c r="I54" i="6" s="1"/>
  <c r="I66" i="6"/>
  <c r="I62" i="6"/>
  <c r="J49" i="6"/>
  <c r="H65" i="6"/>
  <c r="L79" i="6"/>
  <c r="I68" i="6" l="1"/>
  <c r="I67" i="6"/>
  <c r="I63" i="6"/>
  <c r="I65" i="6"/>
  <c r="I61" i="6"/>
  <c r="I64" i="6"/>
  <c r="H71" i="6"/>
  <c r="H218" i="6"/>
  <c r="J164" i="6"/>
  <c r="J165" i="6" s="1"/>
  <c r="J90" i="6"/>
  <c r="J92" i="6" s="1"/>
  <c r="G71" i="6"/>
  <c r="Q31" i="6"/>
  <c r="R30" i="6"/>
  <c r="I69" i="6"/>
  <c r="I70" i="6" s="1"/>
  <c r="L56" i="6"/>
  <c r="J50" i="6"/>
  <c r="J53" i="6" s="1"/>
  <c r="J54" i="6" s="1"/>
  <c r="J66" i="6"/>
  <c r="N2" i="6"/>
  <c r="N216" i="6" s="1"/>
  <c r="M48" i="6"/>
  <c r="O40" i="6"/>
  <c r="P39" i="6"/>
  <c r="K49" i="6"/>
  <c r="M79" i="6"/>
  <c r="J64" i="6" l="1"/>
  <c r="J67" i="6"/>
  <c r="J61" i="6"/>
  <c r="J62" i="6"/>
  <c r="I71" i="6"/>
  <c r="I218" i="6"/>
  <c r="K164" i="6"/>
  <c r="K165" i="6" s="1"/>
  <c r="K90" i="6"/>
  <c r="K92" i="6" s="1"/>
  <c r="J65" i="6"/>
  <c r="J68" i="6"/>
  <c r="Q32" i="6"/>
  <c r="R31" i="6"/>
  <c r="K66" i="6"/>
  <c r="K50" i="6"/>
  <c r="K53" i="6" s="1"/>
  <c r="K54" i="6" s="1"/>
  <c r="L49" i="6"/>
  <c r="M56" i="6"/>
  <c r="O2" i="6"/>
  <c r="O216" i="6" s="1"/>
  <c r="N48" i="6"/>
  <c r="O41" i="6"/>
  <c r="P41" i="6" s="1"/>
  <c r="P40" i="6"/>
  <c r="J63" i="6"/>
  <c r="N79" i="6"/>
  <c r="L164" i="6" l="1"/>
  <c r="L165" i="6" s="1"/>
  <c r="L90" i="6"/>
  <c r="L92" i="6" s="1"/>
  <c r="K67" i="6"/>
  <c r="J69" i="6"/>
  <c r="J70" i="6" s="1"/>
  <c r="K62" i="6"/>
  <c r="K65" i="6"/>
  <c r="K63" i="6"/>
  <c r="L65" i="6"/>
  <c r="L66" i="6"/>
  <c r="L50" i="6"/>
  <c r="L53" i="6" s="1"/>
  <c r="L54" i="6" s="1"/>
  <c r="K68" i="6"/>
  <c r="P2" i="6"/>
  <c r="P216" i="6" s="1"/>
  <c r="O48" i="6"/>
  <c r="K61" i="6"/>
  <c r="N56" i="6"/>
  <c r="M49" i="6"/>
  <c r="K64" i="6"/>
  <c r="Q33" i="6"/>
  <c r="R32" i="6"/>
  <c r="O79" i="6"/>
  <c r="J71" i="6" l="1"/>
  <c r="J218" i="6"/>
  <c r="L61" i="6"/>
  <c r="L64" i="6"/>
  <c r="N49" i="6"/>
  <c r="O49" i="6" s="1"/>
  <c r="M164" i="6"/>
  <c r="M165" i="6" s="1"/>
  <c r="M90" i="6"/>
  <c r="M92" i="6" s="1"/>
  <c r="K69" i="6"/>
  <c r="K70" i="6" s="1"/>
  <c r="L67" i="6"/>
  <c r="L62" i="6"/>
  <c r="O56" i="6"/>
  <c r="Q34" i="6"/>
  <c r="R33" i="6"/>
  <c r="L68" i="6"/>
  <c r="Q2" i="6"/>
  <c r="Q216" i="6" s="1"/>
  <c r="P48" i="6"/>
  <c r="M66" i="6"/>
  <c r="M50" i="6"/>
  <c r="M53" i="6" s="1"/>
  <c r="L63" i="6"/>
  <c r="P79" i="6"/>
  <c r="K71" i="6" l="1"/>
  <c r="K218" i="6"/>
  <c r="N164" i="6"/>
  <c r="N165" i="6" s="1"/>
  <c r="N90" i="6"/>
  <c r="N92" i="6" s="1"/>
  <c r="N63" i="6"/>
  <c r="M62" i="6"/>
  <c r="M65" i="6"/>
  <c r="N68" i="6"/>
  <c r="M68" i="6"/>
  <c r="N50" i="6"/>
  <c r="N61" i="6"/>
  <c r="O164" i="6"/>
  <c r="O165" i="6" s="1"/>
  <c r="O90" i="6"/>
  <c r="O92" i="6" s="1"/>
  <c r="M63" i="6"/>
  <c r="N66" i="6"/>
  <c r="L69" i="6"/>
  <c r="L70" i="6" s="1"/>
  <c r="O66" i="6"/>
  <c r="O50" i="6"/>
  <c r="O53" i="6" s="1"/>
  <c r="M61" i="6"/>
  <c r="M64" i="6"/>
  <c r="Q35" i="6"/>
  <c r="R34" i="6"/>
  <c r="M54" i="6"/>
  <c r="P56" i="6"/>
  <c r="P49" i="6"/>
  <c r="R2" i="6"/>
  <c r="R216" i="6" s="1"/>
  <c r="Q48" i="6"/>
  <c r="M67" i="6"/>
  <c r="Q79" i="6"/>
  <c r="O65" i="6" l="1"/>
  <c r="O67" i="6"/>
  <c r="O68" i="6"/>
  <c r="O63" i="6"/>
  <c r="O62" i="6"/>
  <c r="N53" i="6"/>
  <c r="N54" i="6" s="1"/>
  <c r="N67" i="6"/>
  <c r="N65" i="6"/>
  <c r="N62" i="6"/>
  <c r="P164" i="6"/>
  <c r="P165" i="6" s="1"/>
  <c r="P90" i="6"/>
  <c r="P92" i="6" s="1"/>
  <c r="L71" i="6"/>
  <c r="L218" i="6"/>
  <c r="N64" i="6"/>
  <c r="P61" i="6"/>
  <c r="P66" i="6"/>
  <c r="P50" i="6"/>
  <c r="P53" i="6" s="1"/>
  <c r="P54" i="6" s="1"/>
  <c r="M69" i="6"/>
  <c r="M70" i="6" s="1"/>
  <c r="S2" i="6"/>
  <c r="S216" i="6" s="1"/>
  <c r="R48" i="6"/>
  <c r="Q36" i="6"/>
  <c r="R35" i="6"/>
  <c r="O54" i="6"/>
  <c r="O61" i="6"/>
  <c r="Q56" i="6"/>
  <c r="Q49" i="6"/>
  <c r="O64" i="6"/>
  <c r="R79" i="6"/>
  <c r="P62" i="6" l="1"/>
  <c r="P65" i="6"/>
  <c r="P68" i="6"/>
  <c r="P63" i="6"/>
  <c r="N69" i="6"/>
  <c r="N70" i="6" s="1"/>
  <c r="N218" i="6"/>
  <c r="N71" i="6"/>
  <c r="Q164" i="6"/>
  <c r="Q165" i="6" s="1"/>
  <c r="Q90" i="6"/>
  <c r="Q92" i="6" s="1"/>
  <c r="M71" i="6"/>
  <c r="M218" i="6"/>
  <c r="P67" i="6"/>
  <c r="Q37" i="6"/>
  <c r="R36" i="6"/>
  <c r="T2" i="6"/>
  <c r="T216" i="6" s="1"/>
  <c r="S48" i="6"/>
  <c r="Q66" i="6"/>
  <c r="Q50" i="6"/>
  <c r="Q53" i="6" s="1"/>
  <c r="Q54" i="6" s="1"/>
  <c r="R56" i="6"/>
  <c r="R49" i="6"/>
  <c r="O69" i="6"/>
  <c r="O70" i="6" s="1"/>
  <c r="P64" i="6"/>
  <c r="P69" i="6" s="1"/>
  <c r="S79" i="6"/>
  <c r="Q67" i="6" l="1"/>
  <c r="P70" i="6"/>
  <c r="Q64" i="6"/>
  <c r="O71" i="6"/>
  <c r="O218" i="6"/>
  <c r="R90" i="6"/>
  <c r="R92" i="6" s="1"/>
  <c r="R164" i="6"/>
  <c r="R165" i="6" s="1"/>
  <c r="Q62" i="6"/>
  <c r="Q68" i="6"/>
  <c r="S56" i="6"/>
  <c r="S49" i="6"/>
  <c r="Q65" i="6"/>
  <c r="R66" i="6"/>
  <c r="R50" i="6"/>
  <c r="R53" i="6" s="1"/>
  <c r="R54" i="6" s="1"/>
  <c r="U2" i="6"/>
  <c r="U216" i="6" s="1"/>
  <c r="T48" i="6"/>
  <c r="Q63" i="6"/>
  <c r="Q61" i="6"/>
  <c r="Q38" i="6"/>
  <c r="R37" i="6"/>
  <c r="T79" i="6"/>
  <c r="R67" i="6" l="1"/>
  <c r="R62" i="6"/>
  <c r="P71" i="6"/>
  <c r="P218" i="6"/>
  <c r="S164" i="6"/>
  <c r="S165" i="6" s="1"/>
  <c r="S90" i="6"/>
  <c r="S92" i="6" s="1"/>
  <c r="R68" i="6"/>
  <c r="Q69" i="6"/>
  <c r="Q70" i="6" s="1"/>
  <c r="R65" i="6"/>
  <c r="R61" i="6"/>
  <c r="Q39" i="6"/>
  <c r="L57" i="6" s="1"/>
  <c r="R38" i="6"/>
  <c r="S65" i="6"/>
  <c r="S62" i="6"/>
  <c r="S67" i="6"/>
  <c r="S66" i="6"/>
  <c r="S50" i="6"/>
  <c r="S53" i="6" s="1"/>
  <c r="S54" i="6" s="1"/>
  <c r="R63" i="6"/>
  <c r="T56" i="6"/>
  <c r="T49" i="6"/>
  <c r="V2" i="6"/>
  <c r="V216" i="6" s="1"/>
  <c r="U48" i="6"/>
  <c r="R64" i="6"/>
  <c r="U79" i="6"/>
  <c r="Q71" i="6" l="1"/>
  <c r="Q218" i="6"/>
  <c r="T164" i="6"/>
  <c r="T165" i="6" s="1"/>
  <c r="T90" i="6"/>
  <c r="T92" i="6" s="1"/>
  <c r="S64" i="6"/>
  <c r="L58" i="6"/>
  <c r="L217" i="6" s="1"/>
  <c r="L221" i="6"/>
  <c r="T57" i="6"/>
  <c r="T221" i="6" s="1"/>
  <c r="S57" i="6"/>
  <c r="Q57" i="6"/>
  <c r="R39" i="6"/>
  <c r="I57" i="6"/>
  <c r="H57" i="6"/>
  <c r="G57" i="6"/>
  <c r="K57" i="6"/>
  <c r="O57" i="6"/>
  <c r="J57" i="6"/>
  <c r="M57" i="6"/>
  <c r="P57" i="6"/>
  <c r="R69" i="6"/>
  <c r="R70" i="6" s="1"/>
  <c r="S68" i="6"/>
  <c r="N57" i="6"/>
  <c r="U57" i="6"/>
  <c r="U56" i="6"/>
  <c r="U49" i="6"/>
  <c r="W2" i="6"/>
  <c r="W216" i="6" s="1"/>
  <c r="V48" i="6"/>
  <c r="S63" i="6"/>
  <c r="T66" i="6"/>
  <c r="T50" i="6"/>
  <c r="T53" i="6" s="1"/>
  <c r="T54" i="6" s="1"/>
  <c r="S61" i="6"/>
  <c r="R57" i="6"/>
  <c r="V79" i="6"/>
  <c r="L73" i="6" l="1"/>
  <c r="L219" i="6" s="1"/>
  <c r="R71" i="6"/>
  <c r="R218" i="6"/>
  <c r="U164" i="6"/>
  <c r="U90" i="6"/>
  <c r="U92" i="6" s="1"/>
  <c r="T65" i="6"/>
  <c r="N58" i="6"/>
  <c r="N73" i="6" s="1"/>
  <c r="N219" i="6" s="1"/>
  <c r="N221" i="6"/>
  <c r="P58" i="6"/>
  <c r="P217" i="6" s="1"/>
  <c r="P221" i="6"/>
  <c r="H58" i="6"/>
  <c r="H217" i="6" s="1"/>
  <c r="H221" i="6"/>
  <c r="M58" i="6"/>
  <c r="M217" i="6" s="1"/>
  <c r="M221" i="6"/>
  <c r="O58" i="6"/>
  <c r="O73" i="6" s="1"/>
  <c r="O219" i="6" s="1"/>
  <c r="O221" i="6"/>
  <c r="K58" i="6"/>
  <c r="K73" i="6" s="1"/>
  <c r="K219" i="6" s="1"/>
  <c r="K221" i="6"/>
  <c r="I58" i="6"/>
  <c r="I217" i="6" s="1"/>
  <c r="I221" i="6"/>
  <c r="R58" i="6"/>
  <c r="R217" i="6" s="1"/>
  <c r="R221" i="6"/>
  <c r="Q58" i="6"/>
  <c r="Q73" i="6" s="1"/>
  <c r="Q219" i="6" s="1"/>
  <c r="Q221" i="6"/>
  <c r="U221" i="6"/>
  <c r="J58" i="6"/>
  <c r="J73" i="6" s="1"/>
  <c r="J219" i="6" s="1"/>
  <c r="J221" i="6"/>
  <c r="S58" i="6"/>
  <c r="S217" i="6" s="1"/>
  <c r="S221" i="6"/>
  <c r="G58" i="6"/>
  <c r="G73" i="6" s="1"/>
  <c r="G219" i="6" s="1"/>
  <c r="G221" i="6"/>
  <c r="T63" i="6"/>
  <c r="T61" i="6"/>
  <c r="T58" i="6"/>
  <c r="T217" i="6" s="1"/>
  <c r="T64" i="6"/>
  <c r="U63" i="6"/>
  <c r="U68" i="6"/>
  <c r="U65" i="6"/>
  <c r="U62" i="6"/>
  <c r="U66" i="6"/>
  <c r="U50" i="6"/>
  <c r="U53" i="6" s="1"/>
  <c r="T68" i="6"/>
  <c r="V57" i="6"/>
  <c r="V56" i="6"/>
  <c r="V49" i="6"/>
  <c r="X2" i="6"/>
  <c r="X216" i="6" s="1"/>
  <c r="W48" i="6"/>
  <c r="T67" i="6"/>
  <c r="S69" i="6"/>
  <c r="S70" i="6" s="1"/>
  <c r="T62" i="6"/>
  <c r="W79" i="6"/>
  <c r="L145" i="6" l="1"/>
  <c r="L162" i="6" s="1"/>
  <c r="L220" i="6" s="1"/>
  <c r="L81" i="6"/>
  <c r="L84" i="6" s="1"/>
  <c r="L86" i="6" s="1"/>
  <c r="V221" i="6"/>
  <c r="Q217" i="6"/>
  <c r="O217" i="6"/>
  <c r="P73" i="6"/>
  <c r="P219" i="6" s="1"/>
  <c r="N217" i="6"/>
  <c r="V164" i="6"/>
  <c r="V165" i="6" s="1"/>
  <c r="V90" i="6"/>
  <c r="V92" i="6" s="1"/>
  <c r="U165" i="6"/>
  <c r="S71" i="6"/>
  <c r="S218" i="6"/>
  <c r="O145" i="6"/>
  <c r="O162" i="6" s="1"/>
  <c r="O220" i="6" s="1"/>
  <c r="R73" i="6"/>
  <c r="R219" i="6" s="1"/>
  <c r="H73" i="6"/>
  <c r="H219" i="6" s="1"/>
  <c r="I73" i="6"/>
  <c r="I219" i="6" s="1"/>
  <c r="K217" i="6"/>
  <c r="M73" i="6"/>
  <c r="M219" i="6" s="1"/>
  <c r="G217" i="6"/>
  <c r="J217" i="6"/>
  <c r="Q81" i="6"/>
  <c r="Q84" i="6" s="1"/>
  <c r="Q86" i="6" s="1"/>
  <c r="Q145" i="6"/>
  <c r="Q162" i="6" s="1"/>
  <c r="Q220" i="6" s="1"/>
  <c r="J145" i="6"/>
  <c r="J162" i="6" s="1"/>
  <c r="J220" i="6" s="1"/>
  <c r="K145" i="6"/>
  <c r="K162" i="6" s="1"/>
  <c r="K220" i="6" s="1"/>
  <c r="K81" i="6"/>
  <c r="K84" i="6" s="1"/>
  <c r="K86" i="6" s="1"/>
  <c r="O81" i="6"/>
  <c r="O84" i="6" s="1"/>
  <c r="O86" i="6" s="1"/>
  <c r="N145" i="6"/>
  <c r="N162" i="6" s="1"/>
  <c r="N220" i="6" s="1"/>
  <c r="N81" i="6"/>
  <c r="N84" i="6" s="1"/>
  <c r="N86" i="6" s="1"/>
  <c r="G81" i="6"/>
  <c r="G84" i="6" s="1"/>
  <c r="G86" i="6" s="1"/>
  <c r="G145" i="6"/>
  <c r="G162" i="6" s="1"/>
  <c r="G220" i="6" s="1"/>
  <c r="J81" i="6"/>
  <c r="J84" i="6" s="1"/>
  <c r="J86" i="6" s="1"/>
  <c r="S73" i="6"/>
  <c r="S219" i="6" s="1"/>
  <c r="U61" i="6"/>
  <c r="U58" i="6"/>
  <c r="U217" i="6" s="1"/>
  <c r="U54" i="6"/>
  <c r="W57" i="6"/>
  <c r="W56" i="6"/>
  <c r="W49" i="6"/>
  <c r="Y2" i="6"/>
  <c r="Y216" i="6" s="1"/>
  <c r="X48" i="6"/>
  <c r="V66" i="6"/>
  <c r="V68" i="6"/>
  <c r="V50" i="6"/>
  <c r="V53" i="6" s="1"/>
  <c r="U64" i="6"/>
  <c r="T69" i="6"/>
  <c r="T70" i="6"/>
  <c r="T73" i="6"/>
  <c r="T219" i="6" s="1"/>
  <c r="U67" i="6"/>
  <c r="X79" i="6"/>
  <c r="P81" i="6" l="1"/>
  <c r="P84" i="6" s="1"/>
  <c r="P86" i="6" s="1"/>
  <c r="H145" i="6"/>
  <c r="H162" i="6" s="1"/>
  <c r="H220" i="6" s="1"/>
  <c r="P145" i="6"/>
  <c r="P162" i="6" s="1"/>
  <c r="P220" i="6" s="1"/>
  <c r="V67" i="6"/>
  <c r="V65" i="6"/>
  <c r="R81" i="6"/>
  <c r="R84" i="6" s="1"/>
  <c r="R86" i="6" s="1"/>
  <c r="V62" i="6"/>
  <c r="T71" i="6"/>
  <c r="T218" i="6"/>
  <c r="V64" i="6"/>
  <c r="R145" i="6"/>
  <c r="R162" i="6" s="1"/>
  <c r="R220" i="6" s="1"/>
  <c r="W164" i="6"/>
  <c r="W165" i="6" s="1"/>
  <c r="W90" i="6"/>
  <c r="W92" i="6" s="1"/>
  <c r="V63" i="6"/>
  <c r="I81" i="6"/>
  <c r="I84" i="6" s="1"/>
  <c r="I86" i="6" s="1"/>
  <c r="I145" i="6"/>
  <c r="I162" i="6" s="1"/>
  <c r="I220" i="6" s="1"/>
  <c r="W221" i="6"/>
  <c r="H81" i="6"/>
  <c r="H84" i="6" s="1"/>
  <c r="H86" i="6" s="1"/>
  <c r="M81" i="6"/>
  <c r="M84" i="6" s="1"/>
  <c r="M86" i="6" s="1"/>
  <c r="M145" i="6"/>
  <c r="M162" i="6" s="1"/>
  <c r="M220" i="6" s="1"/>
  <c r="S81" i="6"/>
  <c r="S84" i="6" s="1"/>
  <c r="S86" i="6" s="1"/>
  <c r="S145" i="6"/>
  <c r="S162" i="6" s="1"/>
  <c r="S220" i="6" s="1"/>
  <c r="T81" i="6"/>
  <c r="T84" i="6" s="1"/>
  <c r="T86" i="6" s="1"/>
  <c r="T145" i="6"/>
  <c r="T162" i="6" s="1"/>
  <c r="T220" i="6" s="1"/>
  <c r="Z2" i="6"/>
  <c r="Z216" i="6" s="1"/>
  <c r="Y48" i="6"/>
  <c r="U69" i="6"/>
  <c r="U70" i="6" s="1"/>
  <c r="W66" i="6"/>
  <c r="W68" i="6"/>
  <c r="W50" i="6"/>
  <c r="W53" i="6" s="1"/>
  <c r="W54" i="6" s="1"/>
  <c r="V58" i="6"/>
  <c r="V54" i="6"/>
  <c r="V61" i="6"/>
  <c r="X56" i="6"/>
  <c r="X57" i="6"/>
  <c r="X49" i="6"/>
  <c r="Y79" i="6"/>
  <c r="V69" i="6" l="1"/>
  <c r="V70" i="6" s="1"/>
  <c r="V71" i="6"/>
  <c r="V218" i="6"/>
  <c r="W63" i="6"/>
  <c r="U71" i="6"/>
  <c r="U218" i="6"/>
  <c r="X164" i="6"/>
  <c r="X165" i="6" s="1"/>
  <c r="X90" i="6"/>
  <c r="X92" i="6" s="1"/>
  <c r="W61" i="6"/>
  <c r="X221" i="6"/>
  <c r="V73" i="6"/>
  <c r="V219" i="6" s="1"/>
  <c r="V217" i="6"/>
  <c r="X61" i="6"/>
  <c r="X66" i="6"/>
  <c r="X63" i="6"/>
  <c r="X68" i="6"/>
  <c r="X50" i="6"/>
  <c r="X53" i="6" s="1"/>
  <c r="X54" i="6" s="1"/>
  <c r="U73" i="6"/>
  <c r="U219" i="6" s="1"/>
  <c r="W62" i="6"/>
  <c r="W64" i="6"/>
  <c r="W67" i="6"/>
  <c r="W65" i="6"/>
  <c r="Y56" i="6"/>
  <c r="Y57" i="6"/>
  <c r="Y49" i="6"/>
  <c r="W58" i="6"/>
  <c r="W217" i="6" s="1"/>
  <c r="AA2" i="6"/>
  <c r="AA216" i="6" s="1"/>
  <c r="Z48" i="6"/>
  <c r="Z79" i="6"/>
  <c r="X65" i="6" l="1"/>
  <c r="Y164" i="6"/>
  <c r="Y165" i="6" s="1"/>
  <c r="Y90" i="6"/>
  <c r="Y92" i="6" s="1"/>
  <c r="X67" i="6"/>
  <c r="X62" i="6"/>
  <c r="V81" i="6"/>
  <c r="V84" i="6" s="1"/>
  <c r="V86" i="6" s="1"/>
  <c r="V145" i="6"/>
  <c r="V162" i="6" s="1"/>
  <c r="V220" i="6" s="1"/>
  <c r="Y221" i="6"/>
  <c r="U81" i="6"/>
  <c r="U84" i="6" s="1"/>
  <c r="U86" i="6" s="1"/>
  <c r="U145" i="6"/>
  <c r="U162" i="6" s="1"/>
  <c r="U220" i="6" s="1"/>
  <c r="X58" i="6"/>
  <c r="X217" i="6" s="1"/>
  <c r="Z56" i="6"/>
  <c r="Z57" i="6"/>
  <c r="Z49" i="6"/>
  <c r="W69" i="6"/>
  <c r="W70" i="6" s="1"/>
  <c r="W218" i="6" s="1"/>
  <c r="AB2" i="6"/>
  <c r="AB216" i="6" s="1"/>
  <c r="AA48" i="6"/>
  <c r="Y66" i="6"/>
  <c r="Y68" i="6"/>
  <c r="Y50" i="6"/>
  <c r="Y53" i="6" s="1"/>
  <c r="X64" i="6"/>
  <c r="AA79" i="6"/>
  <c r="Y65" i="6" l="1"/>
  <c r="Y63" i="6"/>
  <c r="Z90" i="6"/>
  <c r="Z92" i="6" s="1"/>
  <c r="Z164" i="6"/>
  <c r="Z165" i="6" s="1"/>
  <c r="Z84" i="6"/>
  <c r="Z86" i="6" s="1"/>
  <c r="Y61" i="6"/>
  <c r="Y64" i="6"/>
  <c r="Z221" i="6"/>
  <c r="W71" i="6"/>
  <c r="W73" i="6"/>
  <c r="W219" i="6" s="1"/>
  <c r="X69" i="6"/>
  <c r="X70" i="6" s="1"/>
  <c r="X218" i="6" s="1"/>
  <c r="AC2" i="6"/>
  <c r="AC216" i="6" s="1"/>
  <c r="AB48" i="6"/>
  <c r="Y58" i="6"/>
  <c r="Y217" i="6" s="1"/>
  <c r="Y54" i="6"/>
  <c r="Y67" i="6"/>
  <c r="AA57" i="6"/>
  <c r="AA56" i="6"/>
  <c r="AA49" i="6"/>
  <c r="Z66" i="6"/>
  <c r="Z68" i="6"/>
  <c r="Z50" i="6"/>
  <c r="Z53" i="6" s="1"/>
  <c r="Z54" i="6" s="1"/>
  <c r="Y62" i="6"/>
  <c r="AB79" i="6"/>
  <c r="Y69" i="6" l="1"/>
  <c r="Z67" i="6"/>
  <c r="AA221" i="6"/>
  <c r="AA164" i="6"/>
  <c r="AA165" i="6" s="1"/>
  <c r="AA90" i="6"/>
  <c r="AA92" i="6" s="1"/>
  <c r="AA84" i="6"/>
  <c r="AA86" i="6" s="1"/>
  <c r="Y70" i="6"/>
  <c r="Y73" i="6" s="1"/>
  <c r="Y219" i="6" s="1"/>
  <c r="W81" i="6"/>
  <c r="W84" i="6" s="1"/>
  <c r="W86" i="6" s="1"/>
  <c r="W145" i="6"/>
  <c r="W162" i="6" s="1"/>
  <c r="W220" i="6" s="1"/>
  <c r="Z58" i="6"/>
  <c r="Z217" i="6" s="1"/>
  <c r="X71" i="6"/>
  <c r="X73" i="6"/>
  <c r="X219" i="6" s="1"/>
  <c r="AD2" i="6"/>
  <c r="AD216" i="6" s="1"/>
  <c r="AC48" i="6"/>
  <c r="AA65" i="6"/>
  <c r="AA62" i="6"/>
  <c r="AA68" i="6"/>
  <c r="AA50" i="6"/>
  <c r="AA53" i="6" s="1"/>
  <c r="AA54" i="6" s="1"/>
  <c r="AB57" i="6"/>
  <c r="AB56" i="6"/>
  <c r="AB49" i="6"/>
  <c r="Z62" i="6"/>
  <c r="Z65" i="6"/>
  <c r="Z63" i="6"/>
  <c r="Z61" i="6"/>
  <c r="Z64" i="6"/>
  <c r="AC79" i="6"/>
  <c r="AB221" i="6" l="1"/>
  <c r="AA64" i="6"/>
  <c r="AA67" i="6"/>
  <c r="AB84" i="6"/>
  <c r="AB86" i="6" s="1"/>
  <c r="AB164" i="6"/>
  <c r="AB165" i="6" s="1"/>
  <c r="AB90" i="6"/>
  <c r="AB92" i="6" s="1"/>
  <c r="Y71" i="6"/>
  <c r="Y218" i="6"/>
  <c r="Y81" i="6"/>
  <c r="Y84" i="6" s="1"/>
  <c r="Y86" i="6" s="1"/>
  <c r="Y145" i="6"/>
  <c r="Y162" i="6" s="1"/>
  <c r="Y220" i="6" s="1"/>
  <c r="X81" i="6"/>
  <c r="X84" i="6" s="1"/>
  <c r="X86" i="6" s="1"/>
  <c r="X145" i="6"/>
  <c r="X162" i="6" s="1"/>
  <c r="X220" i="6" s="1"/>
  <c r="AA58" i="6"/>
  <c r="AA217" i="6" s="1"/>
  <c r="AC57" i="6"/>
  <c r="AC56" i="6"/>
  <c r="AC49" i="6"/>
  <c r="AA63" i="6"/>
  <c r="AA66" i="6"/>
  <c r="Z69" i="6"/>
  <c r="Z70" i="6" s="1"/>
  <c r="Z218" i="6" s="1"/>
  <c r="AE2" i="6"/>
  <c r="AE216" i="6" s="1"/>
  <c r="AD48" i="6"/>
  <c r="AB68" i="6"/>
  <c r="AB65" i="6"/>
  <c r="AB62" i="6"/>
  <c r="AB67" i="6"/>
  <c r="AB50" i="6"/>
  <c r="AB53" i="6" s="1"/>
  <c r="AB54" i="6" s="1"/>
  <c r="AA61" i="6"/>
  <c r="AD79" i="6"/>
  <c r="AB61" i="6" l="1"/>
  <c r="AB64" i="6"/>
  <c r="AC221" i="6"/>
  <c r="AC84" i="6"/>
  <c r="AC86" i="6" s="1"/>
  <c r="AC164" i="6"/>
  <c r="AC165" i="6" s="1"/>
  <c r="AC90" i="6"/>
  <c r="AC92" i="6" s="1"/>
  <c r="AB58" i="6"/>
  <c r="AB217" i="6" s="1"/>
  <c r="Z71" i="6"/>
  <c r="Z73" i="6"/>
  <c r="Z219" i="6" s="1"/>
  <c r="AA69" i="6"/>
  <c r="AA70" i="6" s="1"/>
  <c r="AA218" i="6" s="1"/>
  <c r="AC68" i="6"/>
  <c r="AC65" i="6"/>
  <c r="AC50" i="6"/>
  <c r="AC53" i="6" s="1"/>
  <c r="AB63" i="6"/>
  <c r="AD57" i="6"/>
  <c r="AD56" i="6"/>
  <c r="AD49" i="6"/>
  <c r="AB66" i="6"/>
  <c r="AF2" i="6"/>
  <c r="AF216" i="6" s="1"/>
  <c r="AE48" i="6"/>
  <c r="AE79" i="6"/>
  <c r="AD221" i="6" l="1"/>
  <c r="AD84" i="6"/>
  <c r="AD86" i="6" s="1"/>
  <c r="AD164" i="6"/>
  <c r="AD165" i="6" s="1"/>
  <c r="AD90" i="6"/>
  <c r="AD92" i="6" s="1"/>
  <c r="Z81" i="6"/>
  <c r="Z145" i="6"/>
  <c r="Z162" i="6" s="1"/>
  <c r="Z220" i="6" s="1"/>
  <c r="AA71" i="6"/>
  <c r="AA73" i="6"/>
  <c r="AA219" i="6" s="1"/>
  <c r="AC58" i="6"/>
  <c r="AC217" i="6" s="1"/>
  <c r="AC54" i="6"/>
  <c r="AC66" i="6"/>
  <c r="AC61" i="6"/>
  <c r="AC63" i="6"/>
  <c r="AE57" i="6"/>
  <c r="AE56" i="6"/>
  <c r="AE49" i="6"/>
  <c r="AD66" i="6"/>
  <c r="AD68" i="6"/>
  <c r="AD65" i="6"/>
  <c r="AD50" i="6"/>
  <c r="AD53" i="6" s="1"/>
  <c r="AD54" i="6" s="1"/>
  <c r="AB69" i="6"/>
  <c r="AB70" i="6" s="1"/>
  <c r="AB218" i="6" s="1"/>
  <c r="AG2" i="6"/>
  <c r="AG216" i="6" s="1"/>
  <c r="AF48" i="6"/>
  <c r="AC64" i="6"/>
  <c r="AC67" i="6"/>
  <c r="AC62" i="6"/>
  <c r="AF79" i="6"/>
  <c r="AE221" i="6" l="1"/>
  <c r="AD63" i="6"/>
  <c r="AE164" i="6"/>
  <c r="AE165" i="6" s="1"/>
  <c r="AE90" i="6"/>
  <c r="AE92" i="6" s="1"/>
  <c r="AE84" i="6"/>
  <c r="AE86" i="6" s="1"/>
  <c r="AC69" i="6"/>
  <c r="AC70" i="6" s="1"/>
  <c r="AC73" i="6" s="1"/>
  <c r="AC219" i="6" s="1"/>
  <c r="AA81" i="6"/>
  <c r="AA145" i="6"/>
  <c r="AA162" i="6" s="1"/>
  <c r="AA220" i="6" s="1"/>
  <c r="AD58" i="6"/>
  <c r="AD217" i="6" s="1"/>
  <c r="AB71" i="6"/>
  <c r="AB73" i="6"/>
  <c r="AB219" i="6" s="1"/>
  <c r="AD61" i="6"/>
  <c r="AE61" i="6"/>
  <c r="AE66" i="6"/>
  <c r="AE63" i="6"/>
  <c r="AE68" i="6"/>
  <c r="AE65" i="6"/>
  <c r="AE50" i="6"/>
  <c r="AE53" i="6" s="1"/>
  <c r="AF56" i="6"/>
  <c r="AF57" i="6"/>
  <c r="AF49" i="6"/>
  <c r="AH2" i="6"/>
  <c r="AH216" i="6" s="1"/>
  <c r="AG48" i="6"/>
  <c r="AD64" i="6"/>
  <c r="AD67" i="6"/>
  <c r="AD62" i="6"/>
  <c r="AG79" i="6"/>
  <c r="AC71" i="6" l="1"/>
  <c r="AC218" i="6"/>
  <c r="AF164" i="6"/>
  <c r="AF165" i="6" s="1"/>
  <c r="AF90" i="6"/>
  <c r="AF92" i="6" s="1"/>
  <c r="AF84" i="6"/>
  <c r="AF86" i="6" s="1"/>
  <c r="AF221" i="6"/>
  <c r="AB81" i="6"/>
  <c r="AB145" i="6"/>
  <c r="AB162" i="6" s="1"/>
  <c r="AB220" i="6" s="1"/>
  <c r="AC81" i="6"/>
  <c r="AC145" i="6"/>
  <c r="AC162" i="6" s="1"/>
  <c r="AC220" i="6" s="1"/>
  <c r="AE67" i="6"/>
  <c r="AE58" i="6"/>
  <c r="AE217" i="6" s="1"/>
  <c r="AE54" i="6"/>
  <c r="AE64" i="6"/>
  <c r="AE62" i="6"/>
  <c r="AF64" i="6"/>
  <c r="AF68" i="6"/>
  <c r="AF65" i="6"/>
  <c r="AF50" i="6"/>
  <c r="AF53" i="6" s="1"/>
  <c r="AF54" i="6" s="1"/>
  <c r="AD69" i="6"/>
  <c r="AD70" i="6" s="1"/>
  <c r="AD218" i="6" s="1"/>
  <c r="AG56" i="6"/>
  <c r="AG57" i="6"/>
  <c r="AG49" i="6"/>
  <c r="AI2" i="6"/>
  <c r="AI216" i="6" s="1"/>
  <c r="AH48" i="6"/>
  <c r="AH79" i="6"/>
  <c r="AE69" i="6" l="1"/>
  <c r="AE70" i="6" s="1"/>
  <c r="AG84" i="6"/>
  <c r="AG86" i="6" s="1"/>
  <c r="AG164" i="6"/>
  <c r="AG165" i="6" s="1"/>
  <c r="AG90" i="6"/>
  <c r="AG92" i="6" s="1"/>
  <c r="AE71" i="6"/>
  <c r="AE218" i="6"/>
  <c r="AF61" i="6"/>
  <c r="AG221" i="6"/>
  <c r="AD71" i="6"/>
  <c r="AD73" i="6"/>
  <c r="AD219" i="6" s="1"/>
  <c r="AH56" i="6"/>
  <c r="AH57" i="6"/>
  <c r="AH49" i="6"/>
  <c r="AJ2" i="6"/>
  <c r="AI48" i="6"/>
  <c r="AF67" i="6"/>
  <c r="AG68" i="6"/>
  <c r="AG65" i="6"/>
  <c r="AG50" i="6"/>
  <c r="AG53" i="6" s="1"/>
  <c r="AG54" i="6" s="1"/>
  <c r="AF62" i="6"/>
  <c r="AE73" i="6"/>
  <c r="AE219" i="6" s="1"/>
  <c r="AF63" i="6"/>
  <c r="AF66" i="6"/>
  <c r="AF58" i="6"/>
  <c r="AF217" i="6" s="1"/>
  <c r="AI79" i="6"/>
  <c r="AJ79" i="6"/>
  <c r="AF69" i="6" l="1"/>
  <c r="AJ48" i="6"/>
  <c r="AJ216" i="6"/>
  <c r="AH164" i="6"/>
  <c r="AH165" i="6" s="1"/>
  <c r="AH84" i="6"/>
  <c r="AH86" i="6" s="1"/>
  <c r="AH90" i="6"/>
  <c r="AH92" i="6" s="1"/>
  <c r="AG61" i="6"/>
  <c r="AG63" i="6"/>
  <c r="AG66" i="6"/>
  <c r="AG64" i="6"/>
  <c r="AH221" i="6"/>
  <c r="AD81" i="6"/>
  <c r="AD145" i="6"/>
  <c r="AD162" i="6" s="1"/>
  <c r="AD220" i="6" s="1"/>
  <c r="AE81" i="6"/>
  <c r="AE145" i="6"/>
  <c r="AE162" i="6" s="1"/>
  <c r="AE220" i="6" s="1"/>
  <c r="AG58" i="6"/>
  <c r="AG217" i="6" s="1"/>
  <c r="AJ57" i="6"/>
  <c r="AJ56" i="6"/>
  <c r="AH67" i="6"/>
  <c r="AH64" i="6"/>
  <c r="AH61" i="6"/>
  <c r="AH66" i="6"/>
  <c r="AH63" i="6"/>
  <c r="AH68" i="6"/>
  <c r="AH65" i="6"/>
  <c r="AH50" i="6"/>
  <c r="AH53" i="6" s="1"/>
  <c r="AH54" i="6" s="1"/>
  <c r="AG62" i="6"/>
  <c r="AF70" i="6"/>
  <c r="AG67" i="6"/>
  <c r="AF73" i="6"/>
  <c r="AF219" i="6" s="1"/>
  <c r="AI57" i="6"/>
  <c r="AI56" i="6"/>
  <c r="AI49" i="6"/>
  <c r="AI221" i="6" l="1"/>
  <c r="AI164" i="6"/>
  <c r="AI165" i="6" s="1"/>
  <c r="AI90" i="6"/>
  <c r="AI92" i="6" s="1"/>
  <c r="AI84" i="6"/>
  <c r="AI86" i="6" s="1"/>
  <c r="AG69" i="6"/>
  <c r="AG70" i="6" s="1"/>
  <c r="AG218" i="6" s="1"/>
  <c r="AF71" i="6"/>
  <c r="AF218" i="6"/>
  <c r="AJ221" i="6"/>
  <c r="AF81" i="6"/>
  <c r="AF145" i="6"/>
  <c r="AF162" i="6" s="1"/>
  <c r="AF220" i="6" s="1"/>
  <c r="AI65" i="6"/>
  <c r="AI62" i="6"/>
  <c r="AI67" i="6"/>
  <c r="AI64" i="6"/>
  <c r="AI61" i="6"/>
  <c r="AI66" i="6"/>
  <c r="AI68" i="6"/>
  <c r="AI50" i="6"/>
  <c r="AI53" i="6" s="1"/>
  <c r="AI54" i="6" s="1"/>
  <c r="AJ49" i="6"/>
  <c r="AH62" i="6"/>
  <c r="AH69" i="6" s="1"/>
  <c r="AH58" i="6"/>
  <c r="AH217" i="6" s="1"/>
  <c r="AJ84" i="6" l="1"/>
  <c r="AJ86" i="6" s="1"/>
  <c r="AJ164" i="6"/>
  <c r="AJ165" i="6" s="1"/>
  <c r="AJ90" i="6"/>
  <c r="AJ92" i="6" s="1"/>
  <c r="AI63" i="6"/>
  <c r="AI70" i="6" s="1"/>
  <c r="AI58" i="6"/>
  <c r="AI217" i="6" s="1"/>
  <c r="AH70" i="6"/>
  <c r="AI69" i="6"/>
  <c r="AJ50" i="6"/>
  <c r="AJ53" i="6" s="1"/>
  <c r="AJ68" i="6"/>
  <c r="AJ65" i="6"/>
  <c r="AG71" i="6"/>
  <c r="AG73" i="6"/>
  <c r="AG219" i="6" s="1"/>
  <c r="AH73" i="6"/>
  <c r="AH219" i="6" s="1"/>
  <c r="F97" i="6" l="1"/>
  <c r="AI71" i="6"/>
  <c r="AI218" i="6"/>
  <c r="AH71" i="6"/>
  <c r="AH218" i="6"/>
  <c r="AJ63" i="6"/>
  <c r="AJ62" i="6"/>
  <c r="AH81" i="6"/>
  <c r="AH145" i="6"/>
  <c r="AH162" i="6" s="1"/>
  <c r="AH220" i="6" s="1"/>
  <c r="AG81" i="6"/>
  <c r="AG145" i="6"/>
  <c r="AG162" i="6" s="1"/>
  <c r="AG220" i="6" s="1"/>
  <c r="AJ54" i="6"/>
  <c r="AJ58" i="6"/>
  <c r="AJ217" i="6" s="1"/>
  <c r="AJ66" i="6"/>
  <c r="AJ61" i="6"/>
  <c r="AJ64" i="6"/>
  <c r="AI73" i="6"/>
  <c r="AI219" i="6" s="1"/>
  <c r="AJ67" i="6"/>
  <c r="AI81" i="6" l="1"/>
  <c r="AI145" i="6"/>
  <c r="AI162" i="6" s="1"/>
  <c r="AI220" i="6" s="1"/>
  <c r="AJ69" i="6"/>
  <c r="AJ70" i="6" s="1"/>
  <c r="AJ218" i="6" s="1"/>
  <c r="AJ71" i="6" l="1"/>
  <c r="AJ73" i="6"/>
  <c r="AJ219" i="6" s="1"/>
  <c r="L19" i="6"/>
  <c r="L21" i="6" s="1"/>
  <c r="M19" i="6"/>
  <c r="M21" i="6"/>
  <c r="K21" i="6"/>
  <c r="AJ81" i="6" l="1"/>
  <c r="AJ145" i="6"/>
  <c r="AJ162" i="6" s="1"/>
  <c r="AJ220" i="6" s="1"/>
  <c r="F96" i="6"/>
  <c r="G99" i="6" s="1"/>
  <c r="E174" i="6" s="1"/>
  <c r="E175" i="6" l="1"/>
  <c r="E180" i="6" s="1"/>
  <c r="G125" i="6"/>
  <c r="G126" i="6" s="1"/>
  <c r="H124" i="6" s="1"/>
  <c r="H125" i="6" s="1"/>
  <c r="G120" i="6"/>
  <c r="G121" i="6" s="1"/>
  <c r="H119" i="6" s="1"/>
  <c r="G135" i="6"/>
  <c r="G136" i="6" s="1"/>
  <c r="H134" i="6" s="1"/>
  <c r="H135" i="6" s="1"/>
  <c r="H136" i="6" s="1"/>
  <c r="D224" i="6"/>
  <c r="D233" i="6" s="1"/>
  <c r="G100" i="6"/>
  <c r="G140" i="6"/>
  <c r="G141" i="6" s="1"/>
  <c r="H139" i="6" s="1"/>
  <c r="H140" i="6" s="1"/>
  <c r="H141" i="6" s="1"/>
  <c r="G130" i="6"/>
  <c r="G131" i="6" s="1"/>
  <c r="H129" i="6" s="1"/>
  <c r="H130" i="6" s="1"/>
  <c r="H131" i="6" s="1"/>
  <c r="D225" i="6" l="1"/>
  <c r="H120" i="6"/>
  <c r="H143" i="6" s="1"/>
  <c r="H152" i="6" s="1"/>
  <c r="G166" i="6"/>
  <c r="G146" i="6"/>
  <c r="I129" i="6"/>
  <c r="I134" i="6"/>
  <c r="I139" i="6"/>
  <c r="G93" i="6"/>
  <c r="G94" i="6" s="1"/>
  <c r="G87" i="6"/>
  <c r="G88" i="6" s="1"/>
  <c r="H126" i="6"/>
  <c r="I124" i="6" s="1"/>
  <c r="G143" i="6"/>
  <c r="G152" i="6" s="1"/>
  <c r="H121" i="6" l="1"/>
  <c r="I119" i="6" s="1"/>
  <c r="I120" i="6" s="1"/>
  <c r="I121" i="6" s="1"/>
  <c r="I135" i="6"/>
  <c r="I136" i="6" s="1"/>
  <c r="J134" i="6" s="1"/>
  <c r="I140" i="6"/>
  <c r="I130" i="6"/>
  <c r="I131" i="6" s="1"/>
  <c r="J129" i="6" s="1"/>
  <c r="G153" i="6"/>
  <c r="I125" i="6"/>
  <c r="I126" i="6" s="1"/>
  <c r="J124" i="6" s="1"/>
  <c r="G101" i="6"/>
  <c r="G167" i="6" s="1"/>
  <c r="G154" i="6" l="1"/>
  <c r="H151" i="6" s="1"/>
  <c r="G147" i="6"/>
  <c r="I143" i="6"/>
  <c r="I152" i="6" s="1"/>
  <c r="I141" i="6"/>
  <c r="J139" i="6" s="1"/>
  <c r="J140" i="6" s="1"/>
  <c r="J141" i="6" s="1"/>
  <c r="K139" i="6" s="1"/>
  <c r="J130" i="6"/>
  <c r="J131" i="6" s="1"/>
  <c r="K129" i="6" s="1"/>
  <c r="J125" i="6"/>
  <c r="J126" i="6" s="1"/>
  <c r="K124" i="6" s="1"/>
  <c r="J135" i="6"/>
  <c r="J136" i="6" s="1"/>
  <c r="K134" i="6" s="1"/>
  <c r="J119" i="6"/>
  <c r="G102" i="6"/>
  <c r="H99" i="6" s="1"/>
  <c r="G104" i="6"/>
  <c r="G105" i="6"/>
  <c r="G149" i="6" l="1"/>
  <c r="G168" i="6" s="1"/>
  <c r="G169" i="6" s="1"/>
  <c r="G148" i="6"/>
  <c r="K135" i="6"/>
  <c r="K136" i="6" s="1"/>
  <c r="L134" i="6" s="1"/>
  <c r="K125" i="6"/>
  <c r="K126" i="6" s="1"/>
  <c r="L124" i="6" s="1"/>
  <c r="K130" i="6"/>
  <c r="K131" i="6" s="1"/>
  <c r="L129" i="6" s="1"/>
  <c r="K140" i="6"/>
  <c r="K141" i="6" s="1"/>
  <c r="L139" i="6" s="1"/>
  <c r="J120" i="6"/>
  <c r="H100" i="6"/>
  <c r="F172" i="6" l="1"/>
  <c r="F175" i="6" s="1"/>
  <c r="H146" i="6"/>
  <c r="H166" i="6"/>
  <c r="J121" i="6"/>
  <c r="K119" i="6" s="1"/>
  <c r="J143" i="6"/>
  <c r="J152" i="6" s="1"/>
  <c r="L140" i="6"/>
  <c r="L141" i="6" s="1"/>
  <c r="M139" i="6" s="1"/>
  <c r="L130" i="6"/>
  <c r="L131" i="6" s="1"/>
  <c r="M129" i="6" s="1"/>
  <c r="L125" i="6"/>
  <c r="L126" i="6" s="1"/>
  <c r="M124" i="6" s="1"/>
  <c r="L135" i="6"/>
  <c r="L136" i="6" s="1"/>
  <c r="M134" i="6" s="1"/>
  <c r="H87" i="6"/>
  <c r="H88" i="6" s="1"/>
  <c r="H93" i="6"/>
  <c r="H94" i="6" s="1"/>
  <c r="F182" i="6" l="1"/>
  <c r="F177" i="6"/>
  <c r="F180" i="6"/>
  <c r="H153" i="6"/>
  <c r="M135" i="6"/>
  <c r="M136" i="6" s="1"/>
  <c r="N134" i="6" s="1"/>
  <c r="M125" i="6"/>
  <c r="M126" i="6" s="1"/>
  <c r="N124" i="6" s="1"/>
  <c r="M130" i="6"/>
  <c r="M131" i="6" s="1"/>
  <c r="N129" i="6" s="1"/>
  <c r="M140" i="6"/>
  <c r="M141" i="6" s="1"/>
  <c r="N139" i="6" s="1"/>
  <c r="K120" i="6"/>
  <c r="K143" i="6" s="1"/>
  <c r="K152" i="6" s="1"/>
  <c r="H101" i="6"/>
  <c r="H167" i="6" s="1"/>
  <c r="K121" i="6" l="1"/>
  <c r="L119" i="6" s="1"/>
  <c r="H147" i="6"/>
  <c r="H154" i="6"/>
  <c r="I151" i="6" s="1"/>
  <c r="N140" i="6"/>
  <c r="N141" i="6" s="1"/>
  <c r="O139" i="6" s="1"/>
  <c r="N130" i="6"/>
  <c r="N131" i="6" s="1"/>
  <c r="O129" i="6" s="1"/>
  <c r="N135" i="6"/>
  <c r="N136" i="6" s="1"/>
  <c r="O134" i="6" s="1"/>
  <c r="N125" i="6"/>
  <c r="N126" i="6" s="1"/>
  <c r="O124" i="6" s="1"/>
  <c r="H102" i="6"/>
  <c r="I99" i="6" s="1"/>
  <c r="H105" i="6"/>
  <c r="H104" i="6"/>
  <c r="H149" i="6" l="1"/>
  <c r="H168" i="6" s="1"/>
  <c r="H169" i="6" s="1"/>
  <c r="G172" i="6" s="1"/>
  <c r="G175" i="6" s="1"/>
  <c r="H148" i="6"/>
  <c r="O125" i="6"/>
  <c r="O126" i="6" s="1"/>
  <c r="P124" i="6" s="1"/>
  <c r="O135" i="6"/>
  <c r="O136" i="6" s="1"/>
  <c r="P134" i="6" s="1"/>
  <c r="O130" i="6"/>
  <c r="O131" i="6" s="1"/>
  <c r="P129" i="6" s="1"/>
  <c r="O140" i="6"/>
  <c r="O141" i="6" s="1"/>
  <c r="P139" i="6" s="1"/>
  <c r="L120" i="6"/>
  <c r="I100" i="6"/>
  <c r="I146" i="6" l="1"/>
  <c r="I166" i="6"/>
  <c r="G182" i="6"/>
  <c r="G180" i="6"/>
  <c r="G177" i="6"/>
  <c r="L121" i="6"/>
  <c r="M119" i="6" s="1"/>
  <c r="L143" i="6"/>
  <c r="L152" i="6" s="1"/>
  <c r="P140" i="6"/>
  <c r="P141" i="6" s="1"/>
  <c r="Q139" i="6" s="1"/>
  <c r="P130" i="6"/>
  <c r="P131" i="6" s="1"/>
  <c r="Q129" i="6" s="1"/>
  <c r="P135" i="6"/>
  <c r="P136" i="6" s="1"/>
  <c r="Q134" i="6" s="1"/>
  <c r="P125" i="6"/>
  <c r="P126" i="6" s="1"/>
  <c r="Q124" i="6" s="1"/>
  <c r="I93" i="6"/>
  <c r="I94" i="6" s="1"/>
  <c r="I87" i="6"/>
  <c r="I88" i="6" s="1"/>
  <c r="I101" i="6" l="1"/>
  <c r="I102" i="6" s="1"/>
  <c r="J99" i="6" s="1"/>
  <c r="J100" i="6" s="1"/>
  <c r="I153" i="6"/>
  <c r="Q125" i="6"/>
  <c r="Q126" i="6" s="1"/>
  <c r="R124" i="6" s="1"/>
  <c r="Q135" i="6"/>
  <c r="Q136" i="6" s="1"/>
  <c r="R134" i="6" s="1"/>
  <c r="Q130" i="6"/>
  <c r="Q131" i="6" s="1"/>
  <c r="R129" i="6" s="1"/>
  <c r="Q140" i="6"/>
  <c r="Q141" i="6" s="1"/>
  <c r="R139" i="6" s="1"/>
  <c r="M120" i="6"/>
  <c r="I105" i="6" l="1"/>
  <c r="I104" i="6"/>
  <c r="I167" i="6"/>
  <c r="J146" i="6"/>
  <c r="J166" i="6"/>
  <c r="I147" i="6"/>
  <c r="I154" i="6"/>
  <c r="J151" i="6" s="1"/>
  <c r="M121" i="6"/>
  <c r="N119" i="6" s="1"/>
  <c r="M143" i="6"/>
  <c r="M152" i="6" s="1"/>
  <c r="R140" i="6"/>
  <c r="R141" i="6" s="1"/>
  <c r="S139" i="6" s="1"/>
  <c r="R130" i="6"/>
  <c r="R131" i="6" s="1"/>
  <c r="S129" i="6" s="1"/>
  <c r="R135" i="6"/>
  <c r="R136" i="6" s="1"/>
  <c r="S134" i="6" s="1"/>
  <c r="R125" i="6"/>
  <c r="R126" i="6" s="1"/>
  <c r="S124" i="6" s="1"/>
  <c r="J87" i="6"/>
  <c r="J88" i="6" s="1"/>
  <c r="J93" i="6"/>
  <c r="J94" i="6" s="1"/>
  <c r="J153" i="6" l="1"/>
  <c r="J147" i="6" s="1"/>
  <c r="J148" i="6" s="1"/>
  <c r="I148" i="6"/>
  <c r="I149" i="6"/>
  <c r="I168" i="6" s="1"/>
  <c r="I169" i="6" s="1"/>
  <c r="H172" i="6" s="1"/>
  <c r="H175" i="6" s="1"/>
  <c r="S125" i="6"/>
  <c r="S126" i="6" s="1"/>
  <c r="T124" i="6" s="1"/>
  <c r="S135" i="6"/>
  <c r="S136" i="6" s="1"/>
  <c r="T134" i="6" s="1"/>
  <c r="S140" i="6"/>
  <c r="S141" i="6" s="1"/>
  <c r="T139" i="6" s="1"/>
  <c r="S130" i="6"/>
  <c r="S131" i="6" s="1"/>
  <c r="T129" i="6" s="1"/>
  <c r="N120" i="6"/>
  <c r="J101" i="6"/>
  <c r="J167" i="6" s="1"/>
  <c r="J149" i="6" l="1"/>
  <c r="J168" i="6" s="1"/>
  <c r="J169" i="6" s="1"/>
  <c r="I172" i="6" s="1"/>
  <c r="I175" i="6" s="1"/>
  <c r="I182" i="6" s="1"/>
  <c r="J154" i="6"/>
  <c r="K151" i="6" s="1"/>
  <c r="H180" i="6"/>
  <c r="H182" i="6"/>
  <c r="H177" i="6"/>
  <c r="N121" i="6"/>
  <c r="O119" i="6" s="1"/>
  <c r="N143" i="6"/>
  <c r="N152" i="6" s="1"/>
  <c r="T130" i="6"/>
  <c r="T131" i="6" s="1"/>
  <c r="U129" i="6" s="1"/>
  <c r="T140" i="6"/>
  <c r="T141" i="6" s="1"/>
  <c r="U139" i="6" s="1"/>
  <c r="T125" i="6"/>
  <c r="T126" i="6" s="1"/>
  <c r="U124" i="6" s="1"/>
  <c r="T135" i="6"/>
  <c r="T136" i="6" s="1"/>
  <c r="U134" i="6" s="1"/>
  <c r="J102" i="6"/>
  <c r="K99" i="6" s="1"/>
  <c r="J105" i="6"/>
  <c r="J104" i="6"/>
  <c r="I180" i="6" l="1"/>
  <c r="I177" i="6"/>
  <c r="U135" i="6"/>
  <c r="U136" i="6" s="1"/>
  <c r="V134" i="6" s="1"/>
  <c r="U125" i="6"/>
  <c r="U126" i="6" s="1"/>
  <c r="V124" i="6" s="1"/>
  <c r="U140" i="6"/>
  <c r="U141" i="6" s="1"/>
  <c r="V139" i="6" s="1"/>
  <c r="U130" i="6"/>
  <c r="U131" i="6" s="1"/>
  <c r="V129" i="6" s="1"/>
  <c r="O120" i="6"/>
  <c r="K100" i="6"/>
  <c r="K146" i="6" l="1"/>
  <c r="K166" i="6"/>
  <c r="O121" i="6"/>
  <c r="P119" i="6" s="1"/>
  <c r="O143" i="6"/>
  <c r="O152" i="6" s="1"/>
  <c r="V130" i="6"/>
  <c r="V131" i="6" s="1"/>
  <c r="W129" i="6" s="1"/>
  <c r="V140" i="6"/>
  <c r="V141" i="6" s="1"/>
  <c r="W139" i="6" s="1"/>
  <c r="V135" i="6"/>
  <c r="V136" i="6" s="1"/>
  <c r="W134" i="6" s="1"/>
  <c r="V125" i="6"/>
  <c r="V126" i="6" s="1"/>
  <c r="W124" i="6" s="1"/>
  <c r="K87" i="6"/>
  <c r="K88" i="6" s="1"/>
  <c r="K93" i="6"/>
  <c r="K94" i="6" s="1"/>
  <c r="K101" i="6" l="1"/>
  <c r="K104" i="6" s="1"/>
  <c r="K153" i="6"/>
  <c r="W125" i="6"/>
  <c r="W126" i="6" s="1"/>
  <c r="X124" i="6" s="1"/>
  <c r="W135" i="6"/>
  <c r="W136" i="6" s="1"/>
  <c r="X134" i="6" s="1"/>
  <c r="W140" i="6"/>
  <c r="W141" i="6" s="1"/>
  <c r="X139" i="6" s="1"/>
  <c r="W130" i="6"/>
  <c r="W131" i="6" s="1"/>
  <c r="X129" i="6" s="1"/>
  <c r="P120" i="6"/>
  <c r="K105" i="6" l="1"/>
  <c r="K147" i="6"/>
  <c r="K154" i="6"/>
  <c r="L151" i="6" s="1"/>
  <c r="K102" i="6"/>
  <c r="L99" i="6" s="1"/>
  <c r="L100" i="6" s="1"/>
  <c r="K167" i="6"/>
  <c r="P121" i="6"/>
  <c r="Q119" i="6" s="1"/>
  <c r="P143" i="6"/>
  <c r="P152" i="6" s="1"/>
  <c r="X130" i="6"/>
  <c r="X131" i="6" s="1"/>
  <c r="Y129" i="6" s="1"/>
  <c r="X140" i="6"/>
  <c r="X141" i="6" s="1"/>
  <c r="Y139" i="6" s="1"/>
  <c r="X135" i="6"/>
  <c r="X136" i="6" s="1"/>
  <c r="Y134" i="6" s="1"/>
  <c r="X125" i="6"/>
  <c r="X126" i="6" s="1"/>
  <c r="Y124" i="6" s="1"/>
  <c r="L166" i="6" l="1"/>
  <c r="L146" i="6"/>
  <c r="L87" i="6"/>
  <c r="L88" i="6" s="1"/>
  <c r="L93" i="6"/>
  <c r="L94" i="6" s="1"/>
  <c r="K148" i="6"/>
  <c r="K149" i="6"/>
  <c r="K168" i="6" s="1"/>
  <c r="K169" i="6" s="1"/>
  <c r="J172" i="6" s="1"/>
  <c r="J175" i="6" s="1"/>
  <c r="Y125" i="6"/>
  <c r="Y126" i="6" s="1"/>
  <c r="Z124" i="6" s="1"/>
  <c r="Y135" i="6"/>
  <c r="Y136" i="6" s="1"/>
  <c r="Z134" i="6" s="1"/>
  <c r="Y140" i="6"/>
  <c r="Y141" i="6" s="1"/>
  <c r="Z139" i="6" s="1"/>
  <c r="Y130" i="6"/>
  <c r="Y131" i="6" s="1"/>
  <c r="Z129" i="6" s="1"/>
  <c r="Q120" i="6"/>
  <c r="J182" i="6" l="1"/>
  <c r="J180" i="6"/>
  <c r="J177" i="6"/>
  <c r="L101" i="6"/>
  <c r="L153" i="6"/>
  <c r="Q121" i="6"/>
  <c r="R119" i="6" s="1"/>
  <c r="Q143" i="6"/>
  <c r="Q152" i="6" s="1"/>
  <c r="Z130" i="6"/>
  <c r="Z131" i="6" s="1"/>
  <c r="AA129" i="6" s="1"/>
  <c r="Z140" i="6"/>
  <c r="Z141" i="6" s="1"/>
  <c r="AA139" i="6" s="1"/>
  <c r="Z135" i="6"/>
  <c r="Z136" i="6" s="1"/>
  <c r="AA134" i="6" s="1"/>
  <c r="Z125" i="6"/>
  <c r="Z126" i="6" s="1"/>
  <c r="AA124" i="6" s="1"/>
  <c r="L147" i="6" l="1"/>
  <c r="L154" i="6"/>
  <c r="M151" i="6" s="1"/>
  <c r="L102" i="6"/>
  <c r="M99" i="6" s="1"/>
  <c r="M100" i="6" s="1"/>
  <c r="L167" i="6"/>
  <c r="L105" i="6"/>
  <c r="L104" i="6"/>
  <c r="AA125" i="6"/>
  <c r="AA126" i="6" s="1"/>
  <c r="AB124" i="6" s="1"/>
  <c r="AA135" i="6"/>
  <c r="AA136" i="6" s="1"/>
  <c r="AB134" i="6" s="1"/>
  <c r="AA140" i="6"/>
  <c r="AA141" i="6" s="1"/>
  <c r="AB139" i="6" s="1"/>
  <c r="AA130" i="6"/>
  <c r="AA131" i="6" s="1"/>
  <c r="AB129" i="6" s="1"/>
  <c r="R120" i="6"/>
  <c r="M166" i="6" l="1"/>
  <c r="M146" i="6"/>
  <c r="M153" i="6" s="1"/>
  <c r="M147" i="6" s="1"/>
  <c r="M93" i="6"/>
  <c r="M94" i="6" s="1"/>
  <c r="M87" i="6"/>
  <c r="M88" i="6" s="1"/>
  <c r="M101" i="6" s="1"/>
  <c r="L148" i="6"/>
  <c r="L149" i="6"/>
  <c r="L168" i="6" s="1"/>
  <c r="L169" i="6" s="1"/>
  <c r="K172" i="6" s="1"/>
  <c r="K175" i="6" s="1"/>
  <c r="R121" i="6"/>
  <c r="S119" i="6" s="1"/>
  <c r="R143" i="6"/>
  <c r="R152" i="6" s="1"/>
  <c r="AB130" i="6"/>
  <c r="AB131" i="6" s="1"/>
  <c r="AC129" i="6" s="1"/>
  <c r="AB140" i="6"/>
  <c r="AB141" i="6" s="1"/>
  <c r="AC139" i="6" s="1"/>
  <c r="AB125" i="6"/>
  <c r="AB126" i="6" s="1"/>
  <c r="AC124" i="6" s="1"/>
  <c r="AB135" i="6"/>
  <c r="AB136" i="6" s="1"/>
  <c r="AC134" i="6" s="1"/>
  <c r="M154" i="6" l="1"/>
  <c r="N151" i="6" s="1"/>
  <c r="M102" i="6"/>
  <c r="N99" i="6" s="1"/>
  <c r="N100" i="6" s="1"/>
  <c r="M167" i="6"/>
  <c r="K182" i="6"/>
  <c r="K180" i="6"/>
  <c r="K177" i="6"/>
  <c r="M104" i="6"/>
  <c r="M148" i="6"/>
  <c r="M149" i="6"/>
  <c r="M168" i="6" s="1"/>
  <c r="M105" i="6"/>
  <c r="AC135" i="6"/>
  <c r="AC136" i="6" s="1"/>
  <c r="AD134" i="6" s="1"/>
  <c r="AC125" i="6"/>
  <c r="AC126" i="6" s="1"/>
  <c r="AD124" i="6" s="1"/>
  <c r="AC140" i="6"/>
  <c r="AC141" i="6" s="1"/>
  <c r="AD139" i="6" s="1"/>
  <c r="AC130" i="6"/>
  <c r="AC131" i="6" s="1"/>
  <c r="AD129" i="6" s="1"/>
  <c r="S120" i="6"/>
  <c r="S143" i="6" s="1"/>
  <c r="S152" i="6" s="1"/>
  <c r="M169" i="6" l="1"/>
  <c r="L172" i="6" s="1"/>
  <c r="L175" i="6" s="1"/>
  <c r="L180" i="6" s="1"/>
  <c r="S121" i="6"/>
  <c r="T119" i="6" s="1"/>
  <c r="N166" i="6"/>
  <c r="N146" i="6"/>
  <c r="N87" i="6"/>
  <c r="N88" i="6" s="1"/>
  <c r="N93" i="6"/>
  <c r="N94" i="6" s="1"/>
  <c r="AD130" i="6"/>
  <c r="AD131" i="6" s="1"/>
  <c r="AE129" i="6" s="1"/>
  <c r="AD140" i="6"/>
  <c r="AD141" i="6" s="1"/>
  <c r="AE139" i="6" s="1"/>
  <c r="AD125" i="6"/>
  <c r="AD126" i="6" s="1"/>
  <c r="AE124" i="6" s="1"/>
  <c r="AD135" i="6"/>
  <c r="AD136" i="6" s="1"/>
  <c r="AE134" i="6" s="1"/>
  <c r="L182" i="6" l="1"/>
  <c r="L177" i="6"/>
  <c r="N101" i="6"/>
  <c r="N153" i="6"/>
  <c r="AE135" i="6"/>
  <c r="AE136" i="6" s="1"/>
  <c r="AF134" i="6" s="1"/>
  <c r="AE125" i="6"/>
  <c r="AE126" i="6" s="1"/>
  <c r="AF124" i="6" s="1"/>
  <c r="AE140" i="6"/>
  <c r="AE141" i="6" s="1"/>
  <c r="AF139" i="6" s="1"/>
  <c r="AE130" i="6"/>
  <c r="AE131" i="6" s="1"/>
  <c r="AF129" i="6" s="1"/>
  <c r="T120" i="6"/>
  <c r="T143" i="6" s="1"/>
  <c r="T152" i="6" s="1"/>
  <c r="T121" i="6" l="1"/>
  <c r="U119" i="6" s="1"/>
  <c r="N147" i="6"/>
  <c r="N154" i="6"/>
  <c r="O151" i="6" s="1"/>
  <c r="N167" i="6"/>
  <c r="N102" i="6"/>
  <c r="O99" i="6" s="1"/>
  <c r="O100" i="6" s="1"/>
  <c r="O93" i="6" s="1"/>
  <c r="O94" i="6" s="1"/>
  <c r="N104" i="6"/>
  <c r="N105" i="6"/>
  <c r="AF130" i="6"/>
  <c r="AF131" i="6" s="1"/>
  <c r="AG129" i="6" s="1"/>
  <c r="AF125" i="6"/>
  <c r="AF126" i="6" s="1"/>
  <c r="AG124" i="6" s="1"/>
  <c r="AF135" i="6"/>
  <c r="AF136" i="6" s="1"/>
  <c r="AG134" i="6" s="1"/>
  <c r="AF140" i="6"/>
  <c r="AF141" i="6" s="1"/>
  <c r="AG139" i="6" s="1"/>
  <c r="O87" i="6" l="1"/>
  <c r="O88" i="6" s="1"/>
  <c r="O101" i="6" s="1"/>
  <c r="O167" i="6" s="1"/>
  <c r="O146" i="6"/>
  <c r="O153" i="6" s="1"/>
  <c r="O147" i="6" s="1"/>
  <c r="O166" i="6"/>
  <c r="N149" i="6"/>
  <c r="N168" i="6" s="1"/>
  <c r="N169" i="6" s="1"/>
  <c r="M172" i="6" s="1"/>
  <c r="M175" i="6" s="1"/>
  <c r="N148" i="6"/>
  <c r="AG140" i="6"/>
  <c r="AG141" i="6" s="1"/>
  <c r="AH139" i="6" s="1"/>
  <c r="AG135" i="6"/>
  <c r="AG136" i="6" s="1"/>
  <c r="AH134" i="6" s="1"/>
  <c r="AG125" i="6"/>
  <c r="AG126" i="6" s="1"/>
  <c r="AH124" i="6" s="1"/>
  <c r="AG130" i="6"/>
  <c r="AG131" i="6" s="1"/>
  <c r="AH129" i="6" s="1"/>
  <c r="U120" i="6"/>
  <c r="U143" i="6" s="1"/>
  <c r="U152" i="6" s="1"/>
  <c r="O154" i="6" l="1"/>
  <c r="P151" i="6" s="1"/>
  <c r="U121" i="6"/>
  <c r="M180" i="6"/>
  <c r="M182" i="6"/>
  <c r="M177" i="6"/>
  <c r="O148" i="6"/>
  <c r="O149" i="6"/>
  <c r="O168" i="6" s="1"/>
  <c r="O169" i="6" s="1"/>
  <c r="N172" i="6" s="1"/>
  <c r="N175" i="6" s="1"/>
  <c r="AH130" i="6"/>
  <c r="AH131" i="6" s="1"/>
  <c r="AI129" i="6" s="1"/>
  <c r="AH125" i="6"/>
  <c r="AH126" i="6" s="1"/>
  <c r="AI124" i="6" s="1"/>
  <c r="AH135" i="6"/>
  <c r="AH136" i="6" s="1"/>
  <c r="AI134" i="6" s="1"/>
  <c r="AH140" i="6"/>
  <c r="AH141" i="6" s="1"/>
  <c r="AI139" i="6" s="1"/>
  <c r="O102" i="6"/>
  <c r="P99" i="6" s="1"/>
  <c r="O105" i="6"/>
  <c r="O104" i="6"/>
  <c r="V119" i="6"/>
  <c r="N180" i="6" l="1"/>
  <c r="N182" i="6"/>
  <c r="N177" i="6"/>
  <c r="AI140" i="6"/>
  <c r="AI141" i="6" s="1"/>
  <c r="AJ139" i="6" s="1"/>
  <c r="AI135" i="6"/>
  <c r="AI136" i="6" s="1"/>
  <c r="AJ134" i="6" s="1"/>
  <c r="AI125" i="6"/>
  <c r="AI126" i="6" s="1"/>
  <c r="AJ124" i="6" s="1"/>
  <c r="AI130" i="6"/>
  <c r="AI131" i="6" s="1"/>
  <c r="AJ129" i="6" s="1"/>
  <c r="V120" i="6"/>
  <c r="V143" i="6" s="1"/>
  <c r="V152" i="6" s="1"/>
  <c r="P100" i="6"/>
  <c r="P166" i="6" l="1"/>
  <c r="P146" i="6"/>
  <c r="V121" i="6"/>
  <c r="W119" i="6" s="1"/>
  <c r="AJ130" i="6"/>
  <c r="AJ131" i="6" s="1"/>
  <c r="AJ125" i="6"/>
  <c r="AJ126" i="6" s="1"/>
  <c r="AJ135" i="6"/>
  <c r="AJ136" i="6" s="1"/>
  <c r="AJ140" i="6"/>
  <c r="AJ141" i="6" s="1"/>
  <c r="P87" i="6"/>
  <c r="P88" i="6" s="1"/>
  <c r="P93" i="6"/>
  <c r="P94" i="6" s="1"/>
  <c r="P153" i="6" l="1"/>
  <c r="W120" i="6"/>
  <c r="P101" i="6"/>
  <c r="P167" i="6" s="1"/>
  <c r="P147" i="6" l="1"/>
  <c r="P154" i="6"/>
  <c r="Q151" i="6" s="1"/>
  <c r="W121" i="6"/>
  <c r="X119" i="6" s="1"/>
  <c r="W143" i="6"/>
  <c r="W152" i="6" s="1"/>
  <c r="P102" i="6"/>
  <c r="Q99" i="6" s="1"/>
  <c r="P105" i="6"/>
  <c r="P104" i="6"/>
  <c r="P148" i="6" l="1"/>
  <c r="P149" i="6"/>
  <c r="P168" i="6" s="1"/>
  <c r="P169" i="6" s="1"/>
  <c r="O172" i="6" s="1"/>
  <c r="O175" i="6" s="1"/>
  <c r="X120" i="6"/>
  <c r="Q100" i="6"/>
  <c r="Q146" i="6" l="1"/>
  <c r="Q166" i="6"/>
  <c r="O180" i="6"/>
  <c r="O182" i="6"/>
  <c r="O177" i="6"/>
  <c r="X121" i="6"/>
  <c r="Y119" i="6" s="1"/>
  <c r="X143" i="6"/>
  <c r="X152" i="6" s="1"/>
  <c r="Q87" i="6"/>
  <c r="Q88" i="6" s="1"/>
  <c r="Q93" i="6"/>
  <c r="Q94" i="6" s="1"/>
  <c r="Q153" i="6" l="1"/>
  <c r="Y120" i="6"/>
  <c r="Q101" i="6"/>
  <c r="Q167" i="6" s="1"/>
  <c r="Q147" i="6" l="1"/>
  <c r="Q154" i="6"/>
  <c r="R151" i="6" s="1"/>
  <c r="Y121" i="6"/>
  <c r="Z119" i="6" s="1"/>
  <c r="Y143" i="6"/>
  <c r="Y152" i="6" s="1"/>
  <c r="Q102" i="6"/>
  <c r="R99" i="6" s="1"/>
  <c r="Q104" i="6"/>
  <c r="Q105" i="6"/>
  <c r="Q148" i="6" l="1"/>
  <c r="Q149" i="6"/>
  <c r="Q168" i="6" s="1"/>
  <c r="Q169" i="6" s="1"/>
  <c r="P172" i="6" s="1"/>
  <c r="P175" i="6" s="1"/>
  <c r="Z120" i="6"/>
  <c r="R100" i="6"/>
  <c r="R166" i="6" l="1"/>
  <c r="R146" i="6"/>
  <c r="P180" i="6"/>
  <c r="P182" i="6"/>
  <c r="P177" i="6"/>
  <c r="Z121" i="6"/>
  <c r="AA119" i="6" s="1"/>
  <c r="Z143" i="6"/>
  <c r="Z152" i="6" s="1"/>
  <c r="R93" i="6"/>
  <c r="R94" i="6" s="1"/>
  <c r="R87" i="6"/>
  <c r="R88" i="6" s="1"/>
  <c r="R101" i="6" l="1"/>
  <c r="R104" i="6" s="1"/>
  <c r="R153" i="6"/>
  <c r="AA120" i="6"/>
  <c r="AA143" i="6" s="1"/>
  <c r="AA152" i="6" s="1"/>
  <c r="R105" i="6" l="1"/>
  <c r="R167" i="6"/>
  <c r="R102" i="6"/>
  <c r="S99" i="6" s="1"/>
  <c r="S100" i="6" s="1"/>
  <c r="S93" i="6" s="1"/>
  <c r="S94" i="6" s="1"/>
  <c r="R147" i="6"/>
  <c r="R154" i="6"/>
  <c r="S151" i="6" s="1"/>
  <c r="AA121" i="6"/>
  <c r="AB119" i="6" s="1"/>
  <c r="S146" i="6" l="1"/>
  <c r="S153" i="6" s="1"/>
  <c r="S147" i="6" s="1"/>
  <c r="S148" i="6" s="1"/>
  <c r="S87" i="6"/>
  <c r="S88" i="6" s="1"/>
  <c r="S101" i="6" s="1"/>
  <c r="S167" i="6" s="1"/>
  <c r="S166" i="6"/>
  <c r="R149" i="6"/>
  <c r="R168" i="6" s="1"/>
  <c r="R169" i="6" s="1"/>
  <c r="Q172" i="6" s="1"/>
  <c r="Q175" i="6" s="1"/>
  <c r="R148" i="6"/>
  <c r="AB120" i="6"/>
  <c r="AB143" i="6" s="1"/>
  <c r="AB152" i="6" s="1"/>
  <c r="S149" i="6" l="1"/>
  <c r="S168" i="6" s="1"/>
  <c r="S169" i="6" s="1"/>
  <c r="R172" i="6" s="1"/>
  <c r="R175" i="6" s="1"/>
  <c r="Q180" i="6"/>
  <c r="Q182" i="6"/>
  <c r="Q177" i="6"/>
  <c r="AB121" i="6"/>
  <c r="AC119" i="6" s="1"/>
  <c r="S154" i="6"/>
  <c r="T151" i="6" s="1"/>
  <c r="S102" i="6"/>
  <c r="T99" i="6" s="1"/>
  <c r="S105" i="6"/>
  <c r="S104" i="6"/>
  <c r="R180" i="6" l="1"/>
  <c r="R182" i="6"/>
  <c r="R177" i="6"/>
  <c r="AC120" i="6"/>
  <c r="AC143" i="6" s="1"/>
  <c r="AC152" i="6" s="1"/>
  <c r="T100" i="6"/>
  <c r="AC121" i="6" l="1"/>
  <c r="AD119" i="6" s="1"/>
  <c r="T146" i="6"/>
  <c r="T166" i="6"/>
  <c r="T87" i="6"/>
  <c r="T88" i="6" s="1"/>
  <c r="T93" i="6"/>
  <c r="T94" i="6" s="1"/>
  <c r="T153" i="6" l="1"/>
  <c r="AD120" i="6"/>
  <c r="AD143" i="6" s="1"/>
  <c r="AD152" i="6" s="1"/>
  <c r="T101" i="6"/>
  <c r="T167" i="6" s="1"/>
  <c r="AD121" i="6" l="1"/>
  <c r="T147" i="6"/>
  <c r="T154" i="6"/>
  <c r="U151" i="6" s="1"/>
  <c r="T102" i="6"/>
  <c r="U99" i="6" s="1"/>
  <c r="T104" i="6"/>
  <c r="T105" i="6"/>
  <c r="AE119" i="6"/>
  <c r="T148" i="6" l="1"/>
  <c r="T149" i="6"/>
  <c r="T168" i="6" s="1"/>
  <c r="T169" i="6" s="1"/>
  <c r="S172" i="6" s="1"/>
  <c r="S175" i="6" s="1"/>
  <c r="AE120" i="6"/>
  <c r="U100" i="6"/>
  <c r="U166" i="6" l="1"/>
  <c r="U146" i="6"/>
  <c r="S180" i="6"/>
  <c r="S182" i="6"/>
  <c r="S177" i="6"/>
  <c r="AE121" i="6"/>
  <c r="AF119" i="6" s="1"/>
  <c r="AE143" i="6"/>
  <c r="AE152" i="6" s="1"/>
  <c r="U87" i="6"/>
  <c r="U88" i="6" s="1"/>
  <c r="U93" i="6"/>
  <c r="U94" i="6" s="1"/>
  <c r="U153" i="6" l="1"/>
  <c r="AF120" i="6"/>
  <c r="U101" i="6"/>
  <c r="U167" i="6" s="1"/>
  <c r="U147" i="6" l="1"/>
  <c r="U154" i="6"/>
  <c r="V151" i="6" s="1"/>
  <c r="AF121" i="6"/>
  <c r="AG119" i="6" s="1"/>
  <c r="AF143" i="6"/>
  <c r="AF152" i="6" s="1"/>
  <c r="U102" i="6"/>
  <c r="V99" i="6" s="1"/>
  <c r="U105" i="6"/>
  <c r="U104" i="6"/>
  <c r="U149" i="6" l="1"/>
  <c r="U168" i="6" s="1"/>
  <c r="U169" i="6" s="1"/>
  <c r="T172" i="6" s="1"/>
  <c r="T175" i="6" s="1"/>
  <c r="U148" i="6"/>
  <c r="AG120" i="6"/>
  <c r="V100" i="6"/>
  <c r="V166" i="6" l="1"/>
  <c r="V146" i="6"/>
  <c r="T180" i="6"/>
  <c r="T182" i="6"/>
  <c r="T177" i="6"/>
  <c r="AG121" i="6"/>
  <c r="AH119" i="6" s="1"/>
  <c r="AG143" i="6"/>
  <c r="AG152" i="6" s="1"/>
  <c r="V87" i="6"/>
  <c r="V88" i="6" s="1"/>
  <c r="V93" i="6"/>
  <c r="V94" i="6" s="1"/>
  <c r="V153" i="6" l="1"/>
  <c r="AH120" i="6"/>
  <c r="V101" i="6"/>
  <c r="V167" i="6" s="1"/>
  <c r="V147" i="6" l="1"/>
  <c r="V154" i="6"/>
  <c r="W151" i="6" s="1"/>
  <c r="AH121" i="6"/>
  <c r="AI119" i="6" s="1"/>
  <c r="AH143" i="6"/>
  <c r="AH152" i="6" s="1"/>
  <c r="V102" i="6"/>
  <c r="W99" i="6" s="1"/>
  <c r="V105" i="6"/>
  <c r="V104" i="6"/>
  <c r="V148" i="6" l="1"/>
  <c r="V149" i="6"/>
  <c r="V168" i="6" s="1"/>
  <c r="V169" i="6" s="1"/>
  <c r="U172" i="6" s="1"/>
  <c r="U175" i="6" s="1"/>
  <c r="AI120" i="6"/>
  <c r="AI143" i="6" s="1"/>
  <c r="AI152" i="6" s="1"/>
  <c r="W100" i="6"/>
  <c r="W146" i="6" l="1"/>
  <c r="W166" i="6"/>
  <c r="AI121" i="6"/>
  <c r="AJ119" i="6" s="1"/>
  <c r="U180" i="6"/>
  <c r="U182" i="6"/>
  <c r="U177" i="6"/>
  <c r="W93" i="6"/>
  <c r="W94" i="6" s="1"/>
  <c r="W87" i="6"/>
  <c r="W88" i="6" s="1"/>
  <c r="W101" i="6" l="1"/>
  <c r="W102" i="6" s="1"/>
  <c r="X99" i="6" s="1"/>
  <c r="X100" i="6" s="1"/>
  <c r="W153" i="6"/>
  <c r="AJ120" i="6"/>
  <c r="AJ143" i="6" s="1"/>
  <c r="AJ152" i="6" s="1"/>
  <c r="W105" i="6" l="1"/>
  <c r="W104" i="6"/>
  <c r="W167" i="6"/>
  <c r="W147" i="6"/>
  <c r="W154" i="6"/>
  <c r="X151" i="6" s="1"/>
  <c r="X146" i="6"/>
  <c r="X166" i="6"/>
  <c r="AJ121" i="6"/>
  <c r="X87" i="6"/>
  <c r="X88" i="6" s="1"/>
  <c r="X93" i="6"/>
  <c r="X94" i="6" s="1"/>
  <c r="X153" i="6" l="1"/>
  <c r="X147" i="6" s="1"/>
  <c r="X149" i="6" s="1"/>
  <c r="X168" i="6" s="1"/>
  <c r="W148" i="6"/>
  <c r="W149" i="6"/>
  <c r="W168" i="6" s="1"/>
  <c r="W169" i="6" s="1"/>
  <c r="V172" i="6" s="1"/>
  <c r="V175" i="6" s="1"/>
  <c r="X101" i="6"/>
  <c r="X167" i="6" s="1"/>
  <c r="X169" i="6" l="1"/>
  <c r="W172" i="6" s="1"/>
  <c r="W175" i="6" s="1"/>
  <c r="W182" i="6" s="1"/>
  <c r="X154" i="6"/>
  <c r="Y151" i="6" s="1"/>
  <c r="V180" i="6"/>
  <c r="V182" i="6"/>
  <c r="V177" i="6"/>
  <c r="X148" i="6"/>
  <c r="X102" i="6"/>
  <c r="Y99" i="6" s="1"/>
  <c r="X104" i="6"/>
  <c r="X105" i="6"/>
  <c r="W180" i="6" l="1"/>
  <c r="W177" i="6"/>
  <c r="Y100" i="6"/>
  <c r="Y166" i="6" l="1"/>
  <c r="Y146" i="6"/>
  <c r="Y87" i="6"/>
  <c r="Y88" i="6" s="1"/>
  <c r="Y93" i="6"/>
  <c r="Y94" i="6" s="1"/>
  <c r="Y153" i="6" l="1"/>
  <c r="Y101" i="6"/>
  <c r="Y167" i="6" s="1"/>
  <c r="Y147" i="6" l="1"/>
  <c r="Y154" i="6"/>
  <c r="Z151" i="6" s="1"/>
  <c r="Y102" i="6"/>
  <c r="Z99" i="6" s="1"/>
  <c r="Y105" i="6"/>
  <c r="Y104" i="6"/>
  <c r="Y148" i="6" l="1"/>
  <c r="Y149" i="6"/>
  <c r="Y168" i="6" s="1"/>
  <c r="Y169" i="6" s="1"/>
  <c r="X172" i="6" s="1"/>
  <c r="X175" i="6" s="1"/>
  <c r="Z100" i="6"/>
  <c r="Z166" i="6" l="1"/>
  <c r="Z146" i="6"/>
  <c r="X180" i="6"/>
  <c r="X182" i="6"/>
  <c r="X177" i="6"/>
  <c r="Z93" i="6"/>
  <c r="Z94" i="6" s="1"/>
  <c r="Z87" i="6"/>
  <c r="Z88" i="6" s="1"/>
  <c r="Z101" i="6" l="1"/>
  <c r="Z102" i="6" s="1"/>
  <c r="AA99" i="6" s="1"/>
  <c r="AA100" i="6" s="1"/>
  <c r="Z153" i="6"/>
  <c r="Z104" i="6" l="1"/>
  <c r="Z105" i="6"/>
  <c r="Z167" i="6"/>
  <c r="Z147" i="6"/>
  <c r="Z154" i="6"/>
  <c r="AA151" i="6" s="1"/>
  <c r="AA146" i="6"/>
  <c r="AA166" i="6"/>
  <c r="AA87" i="6"/>
  <c r="AA88" i="6" s="1"/>
  <c r="AA93" i="6"/>
  <c r="AA94" i="6" s="1"/>
  <c r="AA153" i="6" l="1"/>
  <c r="AA147" i="6" s="1"/>
  <c r="AA148" i="6" s="1"/>
  <c r="Z148" i="6"/>
  <c r="Z149" i="6"/>
  <c r="Z168" i="6" s="1"/>
  <c r="Z169" i="6" s="1"/>
  <c r="Y172" i="6" s="1"/>
  <c r="Y175" i="6" s="1"/>
  <c r="AA101" i="6"/>
  <c r="AA167" i="6" s="1"/>
  <c r="AA154" i="6" l="1"/>
  <c r="AB151" i="6" s="1"/>
  <c r="AA149" i="6"/>
  <c r="AA168" i="6" s="1"/>
  <c r="AA169" i="6" s="1"/>
  <c r="Z172" i="6" s="1"/>
  <c r="Z175" i="6" s="1"/>
  <c r="Y180" i="6"/>
  <c r="Y182" i="6"/>
  <c r="Y177" i="6"/>
  <c r="AA102" i="6"/>
  <c r="AB99" i="6" s="1"/>
  <c r="AA105" i="6"/>
  <c r="AA104" i="6"/>
  <c r="Z180" i="6" l="1"/>
  <c r="Z182" i="6"/>
  <c r="Z177" i="6"/>
  <c r="AB100" i="6"/>
  <c r="AB166" i="6" l="1"/>
  <c r="AB146" i="6"/>
  <c r="AB87" i="6"/>
  <c r="AB88" i="6" s="1"/>
  <c r="AB93" i="6"/>
  <c r="AB94" i="6" s="1"/>
  <c r="AB153" i="6" l="1"/>
  <c r="AB101" i="6"/>
  <c r="AB167" i="6" s="1"/>
  <c r="AB147" i="6" l="1"/>
  <c r="AB154" i="6"/>
  <c r="AC151" i="6" s="1"/>
  <c r="AB102" i="6"/>
  <c r="AC99" i="6" s="1"/>
  <c r="AB104" i="6"/>
  <c r="AB105" i="6"/>
  <c r="AB148" i="6" l="1"/>
  <c r="AB149" i="6"/>
  <c r="AB168" i="6" s="1"/>
  <c r="AB169" i="6" s="1"/>
  <c r="AA172" i="6" s="1"/>
  <c r="AA175" i="6" s="1"/>
  <c r="AC100" i="6"/>
  <c r="AC166" i="6" l="1"/>
  <c r="AC146" i="6"/>
  <c r="AA180" i="6"/>
  <c r="AA182" i="6"/>
  <c r="AA177" i="6"/>
  <c r="AC93" i="6"/>
  <c r="AC94" i="6" s="1"/>
  <c r="AC87" i="6"/>
  <c r="AC88" i="6" s="1"/>
  <c r="AC101" i="6" l="1"/>
  <c r="AC104" i="6" s="1"/>
  <c r="AC153" i="6"/>
  <c r="AC105" i="6" l="1"/>
  <c r="AC167" i="6"/>
  <c r="AC102" i="6"/>
  <c r="AD99" i="6" s="1"/>
  <c r="AD100" i="6" s="1"/>
  <c r="AD166" i="6" s="1"/>
  <c r="AC147" i="6"/>
  <c r="AC154" i="6"/>
  <c r="AD151" i="6" s="1"/>
  <c r="AD87" i="6"/>
  <c r="AD88" i="6" s="1"/>
  <c r="AD93" i="6" l="1"/>
  <c r="AD94" i="6" s="1"/>
  <c r="AD146" i="6"/>
  <c r="AD153" i="6" s="1"/>
  <c r="AD147" i="6" s="1"/>
  <c r="AD148" i="6" s="1"/>
  <c r="AD101" i="6"/>
  <c r="AD102" i="6" s="1"/>
  <c r="AE99" i="6" s="1"/>
  <c r="AE100" i="6" s="1"/>
  <c r="AC149" i="6"/>
  <c r="AC168" i="6" s="1"/>
  <c r="AC169" i="6" s="1"/>
  <c r="AB172" i="6" s="1"/>
  <c r="AB175" i="6" s="1"/>
  <c r="AC148" i="6"/>
  <c r="AD105" i="6"/>
  <c r="AD104" i="6"/>
  <c r="AD167" i="6" l="1"/>
  <c r="AD149" i="6"/>
  <c r="AD168" i="6" s="1"/>
  <c r="AB180" i="6"/>
  <c r="AB182" i="6"/>
  <c r="AB177" i="6"/>
  <c r="AD154" i="6"/>
  <c r="AE151" i="6" s="1"/>
  <c r="AE146" i="6"/>
  <c r="AE166" i="6"/>
  <c r="AE93" i="6"/>
  <c r="AE94" i="6" s="1"/>
  <c r="AE87" i="6"/>
  <c r="AE88" i="6" s="1"/>
  <c r="AD169" i="6" l="1"/>
  <c r="AC172" i="6" s="1"/>
  <c r="AC175" i="6" s="1"/>
  <c r="AC177" i="6" s="1"/>
  <c r="AE153" i="6"/>
  <c r="AE147" i="6" s="1"/>
  <c r="AE148" i="6" s="1"/>
  <c r="AE101" i="6"/>
  <c r="AC180" i="6" l="1"/>
  <c r="AC182" i="6"/>
  <c r="AE149" i="6"/>
  <c r="AE168" i="6" s="1"/>
  <c r="AE154" i="6"/>
  <c r="AF151" i="6" s="1"/>
  <c r="AE102" i="6"/>
  <c r="AF99" i="6" s="1"/>
  <c r="AF100" i="6" s="1"/>
  <c r="AF93" i="6" s="1"/>
  <c r="AF94" i="6" s="1"/>
  <c r="AE167" i="6"/>
  <c r="AE105" i="6"/>
  <c r="AE104" i="6"/>
  <c r="AE169" i="6" l="1"/>
  <c r="AD172" i="6" s="1"/>
  <c r="AD175" i="6" s="1"/>
  <c r="AF87" i="6"/>
  <c r="AF88" i="6" s="1"/>
  <c r="AF101" i="6" s="1"/>
  <c r="AD180" i="6"/>
  <c r="AD182" i="6"/>
  <c r="AD177" i="6"/>
  <c r="AF146" i="6"/>
  <c r="AF166" i="6"/>
  <c r="AF167" i="6" l="1"/>
  <c r="AF104" i="6"/>
  <c r="AF105" i="6"/>
  <c r="AF102" i="6"/>
  <c r="AG99" i="6" s="1"/>
  <c r="AG100" i="6" s="1"/>
  <c r="AG93" i="6" s="1"/>
  <c r="AG94" i="6" s="1"/>
  <c r="AF153" i="6"/>
  <c r="AG87" i="6" l="1"/>
  <c r="AG88" i="6" s="1"/>
  <c r="AG101" i="6" s="1"/>
  <c r="AG167" i="6" s="1"/>
  <c r="AG146" i="6"/>
  <c r="AG166" i="6"/>
  <c r="AF147" i="6"/>
  <c r="AF154" i="6"/>
  <c r="AG151" i="6" s="1"/>
  <c r="AF149" i="6" l="1"/>
  <c r="AF168" i="6" s="1"/>
  <c r="AF169" i="6" s="1"/>
  <c r="AE172" i="6" s="1"/>
  <c r="AE175" i="6" s="1"/>
  <c r="AF148" i="6"/>
  <c r="AG153" i="6"/>
  <c r="AG147" i="6" s="1"/>
  <c r="AG102" i="6"/>
  <c r="AH99" i="6" s="1"/>
  <c r="AG104" i="6"/>
  <c r="AG105" i="6"/>
  <c r="AG148" i="6" l="1"/>
  <c r="AG149" i="6"/>
  <c r="AG168" i="6" s="1"/>
  <c r="AG169" i="6" s="1"/>
  <c r="AF172" i="6" s="1"/>
  <c r="AF175" i="6" s="1"/>
  <c r="AE180" i="6"/>
  <c r="AE182" i="6"/>
  <c r="AE177" i="6"/>
  <c r="AG154" i="6"/>
  <c r="AH151" i="6" s="1"/>
  <c r="AH100" i="6"/>
  <c r="AF177" i="6" l="1"/>
  <c r="AH166" i="6"/>
  <c r="AH146" i="6"/>
  <c r="AF180" i="6"/>
  <c r="AF182" i="6"/>
  <c r="AH93" i="6"/>
  <c r="AH94" i="6" s="1"/>
  <c r="AH87" i="6"/>
  <c r="AH88" i="6" s="1"/>
  <c r="AH101" i="6" l="1"/>
  <c r="AH102" i="6" s="1"/>
  <c r="AI99" i="6" s="1"/>
  <c r="AI100" i="6" s="1"/>
  <c r="AH153" i="6"/>
  <c r="AH104" i="6" l="1"/>
  <c r="AH105" i="6"/>
  <c r="AH167" i="6"/>
  <c r="AI166" i="6"/>
  <c r="AI146" i="6"/>
  <c r="AH147" i="6"/>
  <c r="AH154" i="6"/>
  <c r="AI151" i="6" s="1"/>
  <c r="AI87" i="6"/>
  <c r="AI88" i="6" s="1"/>
  <c r="AI93" i="6"/>
  <c r="AI94" i="6" s="1"/>
  <c r="AH149" i="6" l="1"/>
  <c r="AH168" i="6" s="1"/>
  <c r="AH169" i="6" s="1"/>
  <c r="AG172" i="6" s="1"/>
  <c r="AG175" i="6" s="1"/>
  <c r="AH148" i="6"/>
  <c r="AI153" i="6"/>
  <c r="AI147" i="6" s="1"/>
  <c r="AI149" i="6" s="1"/>
  <c r="AI168" i="6" s="1"/>
  <c r="AI101" i="6"/>
  <c r="AI167" i="6" s="1"/>
  <c r="AI148" i="6" l="1"/>
  <c r="AI169" i="6"/>
  <c r="AH172" i="6" s="1"/>
  <c r="AH175" i="6" s="1"/>
  <c r="AH180" i="6" s="1"/>
  <c r="AG180" i="6"/>
  <c r="AG182" i="6"/>
  <c r="AG177" i="6"/>
  <c r="AI154" i="6"/>
  <c r="AJ151" i="6" s="1"/>
  <c r="AI102" i="6"/>
  <c r="AJ99" i="6" s="1"/>
  <c r="AI105" i="6"/>
  <c r="AI104" i="6"/>
  <c r="AH177" i="6" l="1"/>
  <c r="AH182" i="6"/>
  <c r="AJ100" i="6"/>
  <c r="AJ146" i="6" l="1"/>
  <c r="AJ166" i="6"/>
  <c r="AJ87" i="6"/>
  <c r="AJ88" i="6" s="1"/>
  <c r="AJ93" i="6"/>
  <c r="AJ94" i="6" s="1"/>
  <c r="AJ153" i="6" l="1"/>
  <c r="AJ101" i="6"/>
  <c r="AJ167" i="6" s="1"/>
  <c r="AJ147" i="6" l="1"/>
  <c r="AJ154" i="6"/>
  <c r="AJ102" i="6"/>
  <c r="AJ104" i="6"/>
  <c r="AJ105" i="6"/>
  <c r="AJ148" i="6" l="1"/>
  <c r="AJ149" i="6"/>
  <c r="AJ168" i="6" s="1"/>
  <c r="AJ169" i="6" s="1"/>
  <c r="AI172" i="6" s="1"/>
  <c r="AI175" i="6" s="1"/>
  <c r="E179" i="6" s="1"/>
  <c r="G190" i="6" l="1"/>
  <c r="AI180" i="6"/>
  <c r="AI182" i="6"/>
  <c r="E181" i="6"/>
  <c r="AI177" i="6"/>
  <c r="E183" i="6" s="1"/>
  <c r="G20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tc={6E5E5C9C-D4F8-EE49-A7AF-C1116E239710}</author>
  </authors>
  <commentList>
    <comment ref="J31" authorId="0" shapeId="0" xr:uid="{6E5E5C9C-D4F8-EE49-A7AF-C1116E239710}">
      <text>
        <t>[Threaded comment]
Your version of Excel allows you to read this threaded comment; however, any edits to it will get removed if the file is opened in a newer version of Excel. Learn more: https://go.microsoft.com/fwlink/?linkid=870924
Comment:
    Swap+Base+Spread</t>
      </text>
    </comment>
  </commentList>
</comments>
</file>

<file path=xl/sharedStrings.xml><?xml version="1.0" encoding="utf-8"?>
<sst xmlns="http://schemas.openxmlformats.org/spreadsheetml/2006/main" count="177" uniqueCount="140">
  <si>
    <t>Assumptions</t>
  </si>
  <si>
    <t>Total</t>
  </si>
  <si>
    <t>EBITDA</t>
  </si>
  <si>
    <t>Taxes</t>
  </si>
  <si>
    <t>Free Cash Flow</t>
  </si>
  <si>
    <t>IRR</t>
  </si>
  <si>
    <t>Sensitivity Analysis</t>
  </si>
  <si>
    <t>Total Revenue</t>
  </si>
  <si>
    <t>Capex</t>
  </si>
  <si>
    <t>Payback</t>
  </si>
  <si>
    <t>Total Adjustments</t>
  </si>
  <si>
    <t>Charts &amp; Graphs</t>
  </si>
  <si>
    <t>Table of Contents</t>
  </si>
  <si>
    <t xml:space="preserve">PPA </t>
  </si>
  <si>
    <t>Term</t>
  </si>
  <si>
    <t>Post PPA Term</t>
  </si>
  <si>
    <t>Escalator</t>
  </si>
  <si>
    <t>General Inputs</t>
  </si>
  <si>
    <t>CPI Estimate</t>
  </si>
  <si>
    <t>Pricing</t>
  </si>
  <si>
    <t>COD</t>
  </si>
  <si>
    <t>PPA Term</t>
  </si>
  <si>
    <t>Year</t>
  </si>
  <si>
    <t>Project Size (DC)</t>
  </si>
  <si>
    <t>Project Size (AC)</t>
  </si>
  <si>
    <t xml:space="preserve">Energy </t>
  </si>
  <si>
    <t xml:space="preserve">Degredation </t>
  </si>
  <si>
    <t>Energy Probability</t>
  </si>
  <si>
    <t>P50</t>
  </si>
  <si>
    <t>P99</t>
  </si>
  <si>
    <t>$/Wdc</t>
  </si>
  <si>
    <t>$/Wac</t>
  </si>
  <si>
    <t>EPC Contract</t>
  </si>
  <si>
    <t>Land</t>
  </si>
  <si>
    <t>Other Costs</t>
  </si>
  <si>
    <t>Interconnection Costs</t>
  </si>
  <si>
    <t>Transaction Costs</t>
  </si>
  <si>
    <t>Contingency</t>
  </si>
  <si>
    <t>Total Levered Costs</t>
  </si>
  <si>
    <t>General Assumptions</t>
  </si>
  <si>
    <t>Operating Costs</t>
  </si>
  <si>
    <t>From Year</t>
  </si>
  <si>
    <t>To Year</t>
  </si>
  <si>
    <t>Operation and Maintenance</t>
  </si>
  <si>
    <t>G&amp;A/Legal/Audit/Admin</t>
  </si>
  <si>
    <t>Insurance</t>
  </si>
  <si>
    <t>Property Tax</t>
  </si>
  <si>
    <t>Interconnect O&amp;M</t>
  </si>
  <si>
    <t>Lease 1-20</t>
  </si>
  <si>
    <t>Lease 21-30</t>
  </si>
  <si>
    <t>$/MWh</t>
  </si>
  <si>
    <t>Inverter Reserve</t>
  </si>
  <si>
    <t>Financing Assumptions</t>
  </si>
  <si>
    <t>Amortization Period</t>
  </si>
  <si>
    <t>Spread</t>
  </si>
  <si>
    <t>Swap Rate</t>
  </si>
  <si>
    <t>All-in rate</t>
  </si>
  <si>
    <t>Arrangement costs</t>
  </si>
  <si>
    <t>Revenue</t>
  </si>
  <si>
    <t>P75</t>
  </si>
  <si>
    <t>P90</t>
  </si>
  <si>
    <t>Production Year</t>
  </si>
  <si>
    <t>Annual Energy per year</t>
  </si>
  <si>
    <t>PPA Power Price</t>
  </si>
  <si>
    <t>Post PPA Power Price</t>
  </si>
  <si>
    <t>Expenses</t>
  </si>
  <si>
    <t>Degredation Year/Inflation year</t>
  </si>
  <si>
    <t>Total Expenses</t>
  </si>
  <si>
    <t>EBITDA, used for financing</t>
  </si>
  <si>
    <t>Debt Sizing</t>
  </si>
  <si>
    <t>Number of days in year</t>
  </si>
  <si>
    <t>Maximum Debt Service Amount</t>
  </si>
  <si>
    <t>Less: Interest</t>
  </si>
  <si>
    <t>Target Principal Amount</t>
  </si>
  <si>
    <t>Opening Debt Balance</t>
  </si>
  <si>
    <t>Less: Principal</t>
  </si>
  <si>
    <t>Ending Debt Balance</t>
  </si>
  <si>
    <t>Debt Sizing Per DSCR</t>
  </si>
  <si>
    <t>Discounting Year for Debt</t>
  </si>
  <si>
    <t>Inverter Replacement</t>
  </si>
  <si>
    <t>% of Capex</t>
  </si>
  <si>
    <t>Depreciation Rate</t>
  </si>
  <si>
    <t>Beginning</t>
  </si>
  <si>
    <t>Additions</t>
  </si>
  <si>
    <t>Depreciation</t>
  </si>
  <si>
    <t>Ending</t>
  </si>
  <si>
    <t>Depreciation available for year</t>
  </si>
  <si>
    <t>EBITDA  for year</t>
  </si>
  <si>
    <t>Usage</t>
  </si>
  <si>
    <t>Taxable income</t>
  </si>
  <si>
    <t>Taxes payable</t>
  </si>
  <si>
    <t>Discounting dates</t>
  </si>
  <si>
    <t>Investment Amount</t>
  </si>
  <si>
    <t>Less:</t>
  </si>
  <si>
    <t>Principal</t>
  </si>
  <si>
    <t>Interest</t>
  </si>
  <si>
    <t>Average capex investment date</t>
  </si>
  <si>
    <t>Average debt contribution date</t>
  </si>
  <si>
    <t>Debt contribution amount</t>
  </si>
  <si>
    <t>Free cash flow to Equity, levered, after-tax</t>
  </si>
  <si>
    <t>Project IRR, after-tax, levered</t>
  </si>
  <si>
    <t>Project running IRR, after-tax, levered</t>
  </si>
  <si>
    <t>Running Cash-on-Cash</t>
  </si>
  <si>
    <t>Projet Cash-on-Cash</t>
  </si>
  <si>
    <t>PPA Price</t>
  </si>
  <si>
    <t>Post PPA Rate</t>
  </si>
  <si>
    <t>Cash Flow</t>
  </si>
  <si>
    <t>PPA Rate</t>
  </si>
  <si>
    <t>Sources</t>
  </si>
  <si>
    <t>Uses</t>
  </si>
  <si>
    <t>Debt</t>
  </si>
  <si>
    <t>Equity</t>
  </si>
  <si>
    <t>Depreciation Balances, and Cash Taxes Payable</t>
  </si>
  <si>
    <t>Project life</t>
  </si>
  <si>
    <t>% of original output</t>
  </si>
  <si>
    <t>Usage of inverter reserve</t>
  </si>
  <si>
    <t>Maximum Sizing, percent of capex</t>
  </si>
  <si>
    <t>3- month LIBOR</t>
  </si>
  <si>
    <t>DSCR P50 minimum</t>
  </si>
  <si>
    <t xml:space="preserve">Less: Tax shelter/depreciation </t>
  </si>
  <si>
    <t>Tax shelter/depreciation  opening balance</t>
  </si>
  <si>
    <t>Equity balance</t>
  </si>
  <si>
    <t xml:space="preserve">DSRA contribution </t>
  </si>
  <si>
    <t>Class A</t>
  </si>
  <si>
    <t>Class B</t>
  </si>
  <si>
    <t>Class C</t>
  </si>
  <si>
    <t>Class D</t>
  </si>
  <si>
    <t>Class E</t>
  </si>
  <si>
    <t>Debt service reserve account</t>
  </si>
  <si>
    <t>Price/MWh</t>
  </si>
  <si>
    <t>Returns</t>
  </si>
  <si>
    <t>Renewable Energy - Solar Financial Model - Blank</t>
  </si>
  <si>
    <t>Acquisition Costs</t>
  </si>
  <si>
    <t xml:space="preserve">Production, Revenue, Expenses, EBITDA </t>
  </si>
  <si>
    <t>Fignistein Tax Rate</t>
  </si>
  <si>
    <t xml:space="preserve">Fignistein Tax </t>
  </si>
  <si>
    <t xml:space="preserve"> </t>
  </si>
  <si>
    <t>DSCR P99 minimum</t>
  </si>
  <si>
    <t>Tax shelter/depreciation Closing balance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</si>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</sst>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3" formatCode="_(* #,##0.00_);_(* \(#,##0.00\);_(* &quot;-&quot;??_);_(@_)"/>
    <numFmt numFmtId="164" formatCode="_-* #,##0.00_-;\-* #,##0.00_-;_-* &quot;-&quot;??_-;_-@_-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0.0%"/>
    <numFmt numFmtId="168" formatCode="_-* #,##0_-;\(#,##0\)_-;_-* &quot;-&quot;_-;_-@_-"/>
    <numFmt numFmtId="169" formatCode="_(* #,##0_);_(* \(#,##0\);_(* &quot;-&quot;??_);_(@_)"/>
    <numFmt numFmtId="170" formatCode="_(* #,##0.000_);_(* \(#,##0.000\);_(* &quot;-&quot;??_);_(@_)"/>
    <numFmt numFmtId="171" formatCode="0\ &quot;years&quot;"/>
    <numFmt numFmtId="172" formatCode="[$-1009]d\-mmm\-yy;@"/>
    <numFmt numFmtId="173" formatCode="&quot;$&quot;#,##0.0000&quot;/kWh&quot;;\-&quot;$&quot;#,##0"/>
    <numFmt numFmtId="174" formatCode="0.0\ &quot;MW&quot;"/>
    <numFmt numFmtId="175" formatCode="&quot;$&quot;#,##0.00;[Red]&quot;$&quot;#,##0.00"/>
    <numFmt numFmtId="176" formatCode="_-&quot;$&quot;* #,##0_-;\-&quot;$&quot;* #,##0_-;_-&quot;$&quot;* &quot;-&quot;??_-;_-@_-"/>
    <numFmt numFmtId="177" formatCode="0%_);\(0%\);@_)"/>
    <numFmt numFmtId="178" formatCode="0.0%_);\(0.0%\);0.0%_);@_)"/>
    <numFmt numFmtId="179" formatCode="&quot;$&quot;#,##0.00"/>
    <numFmt numFmtId="180" formatCode="&quot;$&quot;#,##0.00_);\(&quot;$&quot;#,##0.00\);&quot;$&quot;#,##0.00_);@_)"/>
    <numFmt numFmtId="181" formatCode="0.00\x"/>
    <numFmt numFmtId="182" formatCode="0&quot; bps&quot;\_x000a_%%"/>
    <numFmt numFmtId="183" formatCode="#,#00.0\ &quot;MWh&quot;"/>
    <numFmt numFmtId="184" formatCode="&quot;$&quot;#,##0.0000&quot;/MWh&quot;;\-&quot;$&quot;#,##0"/>
    <numFmt numFmtId="185" formatCode="#,###\ &quot;MWh&quot;"/>
    <numFmt numFmtId="186" formatCode="_-&quot;$&quot;* #,##0_-;\(&quot;$&quot;\ #,##0\);_-&quot;$&quot;* &quot;-&quot;??_-;_-@_-"/>
    <numFmt numFmtId="187" formatCode="_-[$$-1009]* #,##0.00_-;\-[$$-1009]* #,##0.00_-;_-[$$-1009]* &quot;-&quot;??_-;_-@_-"/>
    <numFmt numFmtId="188" formatCode="0.0\ &quot;years&quot;"/>
    <numFmt numFmtId="189" formatCode="dd\-mmm\-yy\ &quot;E&quot;"/>
    <numFmt numFmtId="190" formatCode="0.00000"/>
    <numFmt numFmtId="191" formatCode="0.0\ &quot;months&quot;"/>
    <numFmt numFmtId="192" formatCode="#,##0.0_);\(#,##0.0\)"/>
    <numFmt numFmtId="193" formatCode="_(* #,##0.0_);_(* \(#,##0.0\);_(* &quot;-&quot;??_);_(@_)"/>
    <numFmt numFmtId="194" formatCode="0.0\ &quot;Years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 Narrow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rgb="FF0000FF"/>
      <name val="Arial Narrow"/>
      <family val="2"/>
    </font>
    <font>
      <i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11"/>
      <color theme="0"/>
      <name val="Arial Narrow"/>
      <family val="2"/>
    </font>
    <font>
      <sz val="11"/>
      <color rgb="FF2007B9"/>
      <name val="Arial Narrow"/>
      <family val="2"/>
    </font>
    <font>
      <b/>
      <sz val="12"/>
      <color theme="1"/>
      <name val="Arial Narrow"/>
      <family val="2"/>
    </font>
    <font>
      <b/>
      <sz val="22"/>
      <color theme="1"/>
      <name val="Arial Narrow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theme="1"/>
      <name val="Arial Narrow"/>
      <family val="2"/>
    </font>
    <font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44">
    <xf numFmtId="0" fontId="0" fillId="0" borderId="0" xfId="0"/>
    <xf numFmtId="168" fontId="5" fillId="0" borderId="0" xfId="3" applyNumberFormat="1" applyFont="1" applyProtection="1">
      <protection locked="0"/>
    </xf>
    <xf numFmtId="168" fontId="9" fillId="0" borderId="0" xfId="3" applyNumberFormat="1" applyFont="1" applyProtection="1">
      <protection locked="0"/>
    </xf>
    <xf numFmtId="168" fontId="9" fillId="0" borderId="0" xfId="3" applyNumberFormat="1" applyFont="1" applyAlignment="1" applyProtection="1">
      <alignment horizontal="center"/>
      <protection locked="0"/>
    </xf>
    <xf numFmtId="37" fontId="4" fillId="3" borderId="0" xfId="0" applyNumberFormat="1" applyFont="1" applyFill="1" applyAlignment="1">
      <alignment vertical="center"/>
    </xf>
    <xf numFmtId="168" fontId="9" fillId="0" borderId="0" xfId="3" applyNumberFormat="1" applyFont="1" applyAlignment="1" applyProtection="1">
      <alignment horizontal="right"/>
    </xf>
    <xf numFmtId="168" fontId="12" fillId="2" borderId="0" xfId="3" applyNumberFormat="1" applyFont="1" applyFill="1" applyAlignment="1" applyProtection="1">
      <alignment horizontal="left"/>
      <protection locked="0"/>
    </xf>
    <xf numFmtId="168" fontId="2" fillId="2" borderId="0" xfId="3" applyNumberFormat="1" applyFont="1" applyFill="1" applyProtection="1">
      <protection locked="0"/>
    </xf>
    <xf numFmtId="37" fontId="2" fillId="2" borderId="0" xfId="0" applyNumberFormat="1" applyFont="1" applyFill="1" applyAlignment="1">
      <alignment vertical="top"/>
    </xf>
    <xf numFmtId="0" fontId="5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5" fillId="0" borderId="1" xfId="0" applyFont="1" applyBorder="1" applyProtection="1">
      <protection hidden="1"/>
    </xf>
    <xf numFmtId="0" fontId="5" fillId="0" borderId="3" xfId="0" applyFont="1" applyBorder="1" applyProtection="1">
      <protection hidden="1"/>
    </xf>
    <xf numFmtId="167" fontId="5" fillId="0" borderId="0" xfId="1" applyNumberFormat="1" applyFont="1" applyProtection="1">
      <protection hidden="1"/>
    </xf>
    <xf numFmtId="169" fontId="5" fillId="0" borderId="0" xfId="2" applyNumberFormat="1" applyFont="1" applyProtection="1">
      <protection hidden="1"/>
    </xf>
    <xf numFmtId="43" fontId="5" fillId="0" borderId="0" xfId="2" applyFont="1" applyProtection="1">
      <protection hidden="1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9" fontId="5" fillId="0" borderId="0" xfId="2" applyNumberFormat="1" applyFont="1"/>
    <xf numFmtId="169" fontId="5" fillId="0" borderId="0" xfId="2" applyNumberFormat="1" applyFont="1" applyAlignment="1">
      <alignment horizontal="center"/>
    </xf>
    <xf numFmtId="169" fontId="5" fillId="0" borderId="0" xfId="2" applyNumberFormat="1" applyFont="1" applyFill="1"/>
    <xf numFmtId="169" fontId="5" fillId="0" borderId="0" xfId="2" applyNumberFormat="1" applyFont="1" applyFill="1" applyAlignment="1">
      <alignment horizontal="center"/>
    </xf>
    <xf numFmtId="37" fontId="5" fillId="0" borderId="0" xfId="0" applyNumberFormat="1" applyFont="1" applyAlignment="1">
      <alignment horizontal="center"/>
    </xf>
    <xf numFmtId="169" fontId="7" fillId="0" borderId="0" xfId="2" applyNumberFormat="1" applyFont="1"/>
    <xf numFmtId="169" fontId="7" fillId="0" borderId="0" xfId="2" applyNumberFormat="1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169" fontId="5" fillId="0" borderId="1" xfId="2" applyNumberFormat="1" applyFont="1" applyFill="1" applyBorder="1"/>
    <xf numFmtId="169" fontId="5" fillId="0" borderId="0" xfId="2" applyNumberFormat="1" applyFont="1" applyBorder="1"/>
    <xf numFmtId="170" fontId="5" fillId="0" borderId="0" xfId="2" applyNumberFormat="1" applyFont="1"/>
    <xf numFmtId="0" fontId="7" fillId="0" borderId="0" xfId="0" applyFont="1" applyAlignment="1" applyProtection="1">
      <alignment horizontal="centerContinuous"/>
      <protection hidden="1"/>
    </xf>
    <xf numFmtId="0" fontId="5" fillId="0" borderId="0" xfId="0" applyFont="1" applyAlignment="1" applyProtection="1">
      <alignment horizontal="centerContinuous"/>
      <protection hidden="1"/>
    </xf>
    <xf numFmtId="9" fontId="2" fillId="0" borderId="0" xfId="0" applyNumberFormat="1" applyFont="1" applyProtection="1">
      <protection hidden="1"/>
    </xf>
    <xf numFmtId="43" fontId="5" fillId="0" borderId="5" xfId="2" applyFont="1" applyBorder="1" applyProtection="1">
      <protection hidden="1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2" fillId="0" borderId="0" xfId="0" applyFont="1"/>
    <xf numFmtId="0" fontId="5" fillId="0" borderId="0" xfId="0" applyFont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Continuous" vertical="center"/>
      <protection hidden="1"/>
    </xf>
    <xf numFmtId="0" fontId="2" fillId="2" borderId="0" xfId="0" applyFont="1" applyFill="1" applyAlignment="1" applyProtection="1">
      <alignment horizontal="centerContinuous" vertical="center"/>
      <protection hidden="1"/>
    </xf>
    <xf numFmtId="43" fontId="2" fillId="0" borderId="0" xfId="0" applyNumberFormat="1" applyFont="1" applyProtection="1">
      <protection hidden="1"/>
    </xf>
    <xf numFmtId="0" fontId="5" fillId="0" borderId="1" xfId="0" applyFont="1" applyBorder="1"/>
    <xf numFmtId="37" fontId="11" fillId="0" borderId="1" xfId="2" applyNumberFormat="1" applyFont="1" applyFill="1" applyBorder="1"/>
    <xf numFmtId="167" fontId="5" fillId="0" borderId="0" xfId="1" applyNumberFormat="1" applyFont="1" applyBorder="1" applyProtection="1">
      <protection hidden="1"/>
    </xf>
    <xf numFmtId="43" fontId="8" fillId="0" borderId="5" xfId="2" applyFont="1" applyBorder="1" applyProtection="1">
      <protection hidden="1"/>
    </xf>
    <xf numFmtId="169" fontId="5" fillId="0" borderId="1" xfId="2" applyNumberFormat="1" applyFont="1" applyBorder="1"/>
    <xf numFmtId="169" fontId="5" fillId="0" borderId="1" xfId="2" applyNumberFormat="1" applyFont="1" applyBorder="1" applyAlignment="1">
      <alignment horizontal="center"/>
    </xf>
    <xf numFmtId="37" fontId="5" fillId="0" borderId="1" xfId="0" applyNumberFormat="1" applyFont="1" applyBorder="1" applyAlignment="1">
      <alignment horizontal="center"/>
    </xf>
    <xf numFmtId="0" fontId="5" fillId="3" borderId="0" xfId="4" applyFont="1" applyFill="1"/>
    <xf numFmtId="0" fontId="5" fillId="0" borderId="0" xfId="4" applyFont="1"/>
    <xf numFmtId="0" fontId="15" fillId="0" borderId="0" xfId="4" applyFont="1" applyProtection="1">
      <protection locked="0"/>
    </xf>
    <xf numFmtId="0" fontId="7" fillId="0" borderId="0" xfId="4" applyFont="1" applyAlignment="1">
      <alignment horizontal="right"/>
    </xf>
    <xf numFmtId="0" fontId="5" fillId="0" borderId="0" xfId="4" applyFont="1" applyProtection="1">
      <protection locked="0"/>
    </xf>
    <xf numFmtId="0" fontId="7" fillId="0" borderId="0" xfId="4" applyFont="1" applyProtection="1">
      <protection locked="0"/>
    </xf>
    <xf numFmtId="0" fontId="1" fillId="0" borderId="0" xfId="4"/>
    <xf numFmtId="0" fontId="5" fillId="0" borderId="1" xfId="4" applyFont="1" applyBorder="1"/>
    <xf numFmtId="0" fontId="17" fillId="0" borderId="0" xfId="5" applyFont="1" applyFill="1" applyBorder="1"/>
    <xf numFmtId="0" fontId="2" fillId="2" borderId="0" xfId="4" applyFont="1" applyFill="1"/>
    <xf numFmtId="0" fontId="5" fillId="2" borderId="0" xfId="4" applyFont="1" applyFill="1"/>
    <xf numFmtId="0" fontId="5" fillId="4" borderId="0" xfId="4" applyFont="1" applyFill="1"/>
    <xf numFmtId="171" fontId="13" fillId="0" borderId="0" xfId="2" applyNumberFormat="1" applyFont="1" applyProtection="1">
      <protection hidden="1"/>
    </xf>
    <xf numFmtId="172" fontId="13" fillId="0" borderId="0" xfId="2" applyNumberFormat="1" applyFont="1" applyProtection="1"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173" fontId="5" fillId="0" borderId="0" xfId="0" applyNumberFormat="1" applyFont="1" applyProtection="1"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175" fontId="7" fillId="0" borderId="2" xfId="0" applyNumberFormat="1" applyFont="1" applyBorder="1" applyAlignment="1">
      <alignment horizontal="center"/>
    </xf>
    <xf numFmtId="165" fontId="5" fillId="0" borderId="2" xfId="6" applyNumberFormat="1" applyFont="1" applyFill="1" applyBorder="1"/>
    <xf numFmtId="175" fontId="5" fillId="0" borderId="2" xfId="6" applyNumberFormat="1" applyFont="1" applyBorder="1" applyAlignment="1">
      <alignment horizontal="center"/>
    </xf>
    <xf numFmtId="176" fontId="8" fillId="0" borderId="14" xfId="6" applyNumberFormat="1" applyFont="1" applyFill="1" applyBorder="1"/>
    <xf numFmtId="176" fontId="8" fillId="0" borderId="15" xfId="6" applyNumberFormat="1" applyFont="1" applyFill="1" applyBorder="1"/>
    <xf numFmtId="0" fontId="7" fillId="0" borderId="3" xfId="0" applyFont="1" applyBorder="1" applyProtection="1">
      <protection hidden="1"/>
    </xf>
    <xf numFmtId="177" fontId="5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78" fontId="8" fillId="0" borderId="2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80" fontId="5" fillId="0" borderId="2" xfId="0" applyNumberFormat="1" applyFont="1" applyBorder="1" applyAlignment="1" applyProtection="1">
      <alignment horizontal="center"/>
      <protection hidden="1"/>
    </xf>
    <xf numFmtId="180" fontId="8" fillId="0" borderId="2" xfId="0" applyNumberFormat="1" applyFont="1" applyBorder="1" applyAlignment="1">
      <alignment horizontal="center"/>
    </xf>
    <xf numFmtId="9" fontId="8" fillId="0" borderId="15" xfId="1" applyFont="1" applyFill="1" applyBorder="1" applyAlignment="1">
      <alignment horizontal="center"/>
    </xf>
    <xf numFmtId="181" fontId="8" fillId="0" borderId="15" xfId="0" applyNumberFormat="1" applyFont="1" applyBorder="1" applyAlignment="1" applyProtection="1">
      <alignment horizontal="center"/>
      <protection hidden="1"/>
    </xf>
    <xf numFmtId="181" fontId="8" fillId="0" borderId="13" xfId="0" applyNumberFormat="1" applyFont="1" applyBorder="1" applyAlignment="1">
      <alignment horizontal="center"/>
    </xf>
    <xf numFmtId="172" fontId="3" fillId="2" borderId="0" xfId="0" applyNumberFormat="1" applyFont="1" applyFill="1"/>
    <xf numFmtId="0" fontId="5" fillId="0" borderId="3" xfId="0" applyFont="1" applyBorder="1" applyAlignment="1" applyProtection="1">
      <alignment horizontal="center"/>
      <protection hidden="1"/>
    </xf>
    <xf numFmtId="183" fontId="8" fillId="0" borderId="0" xfId="0" applyNumberFormat="1" applyFont="1" applyAlignment="1" applyProtection="1">
      <alignment horizontal="center"/>
      <protection hidden="1"/>
    </xf>
    <xf numFmtId="0" fontId="18" fillId="0" borderId="0" xfId="0" applyFont="1"/>
    <xf numFmtId="0" fontId="0" fillId="0" borderId="0" xfId="0" applyAlignment="1">
      <alignment horizontal="left" indent="1"/>
    </xf>
    <xf numFmtId="169" fontId="0" fillId="0" borderId="0" xfId="2" applyNumberFormat="1" applyFont="1"/>
    <xf numFmtId="184" fontId="8" fillId="0" borderId="0" xfId="0" applyNumberFormat="1" applyFont="1" applyProtection="1">
      <protection hidden="1"/>
    </xf>
    <xf numFmtId="184" fontId="5" fillId="0" borderId="0" xfId="0" applyNumberFormat="1" applyFont="1" applyProtection="1">
      <protection hidden="1"/>
    </xf>
    <xf numFmtId="184" fontId="5" fillId="0" borderId="5" xfId="0" applyNumberFormat="1" applyFont="1" applyBorder="1" applyProtection="1">
      <protection hidden="1"/>
    </xf>
    <xf numFmtId="166" fontId="0" fillId="0" borderId="0" xfId="6" applyFont="1"/>
    <xf numFmtId="185" fontId="0" fillId="0" borderId="0" xfId="2" applyNumberFormat="1" applyFont="1"/>
    <xf numFmtId="166" fontId="0" fillId="0" borderId="3" xfId="6" applyFont="1" applyBorder="1"/>
    <xf numFmtId="176" fontId="18" fillId="0" borderId="0" xfId="0" applyNumberFormat="1" applyFont="1"/>
    <xf numFmtId="169" fontId="0" fillId="0" borderId="3" xfId="2" applyNumberFormat="1" applyFont="1" applyBorder="1"/>
    <xf numFmtId="169" fontId="18" fillId="0" borderId="0" xfId="2" applyNumberFormat="1" applyFont="1"/>
    <xf numFmtId="186" fontId="18" fillId="0" borderId="0" xfId="0" applyNumberFormat="1" applyFont="1"/>
    <xf numFmtId="184" fontId="8" fillId="0" borderId="10" xfId="0" applyNumberFormat="1" applyFont="1" applyBorder="1" applyProtection="1">
      <protection hidden="1"/>
    </xf>
    <xf numFmtId="0" fontId="19" fillId="0" borderId="0" xfId="0" applyFont="1"/>
    <xf numFmtId="187" fontId="19" fillId="0" borderId="0" xfId="2" applyNumberFormat="1" applyFont="1"/>
    <xf numFmtId="169" fontId="11" fillId="0" borderId="0" xfId="2" applyNumberFormat="1" applyFont="1" applyFill="1" applyBorder="1"/>
    <xf numFmtId="176" fontId="18" fillId="0" borderId="0" xfId="6" applyNumberFormat="1" applyFont="1"/>
    <xf numFmtId="176" fontId="7" fillId="0" borderId="0" xfId="6" applyNumberFormat="1" applyFont="1" applyFill="1" applyBorder="1"/>
    <xf numFmtId="181" fontId="0" fillId="0" borderId="2" xfId="0" applyNumberFormat="1" applyBorder="1"/>
    <xf numFmtId="176" fontId="0" fillId="0" borderId="1" xfId="0" applyNumberFormat="1" applyBorder="1" applyAlignment="1">
      <alignment horizontal="left" indent="1"/>
    </xf>
    <xf numFmtId="176" fontId="0" fillId="0" borderId="1" xfId="0" applyNumberFormat="1" applyBorder="1"/>
    <xf numFmtId="0" fontId="20" fillId="0" borderId="0" xfId="0" applyFont="1" applyAlignment="1">
      <alignment horizontal="center"/>
    </xf>
    <xf numFmtId="186" fontId="0" fillId="0" borderId="0" xfId="0" applyNumberFormat="1"/>
    <xf numFmtId="171" fontId="5" fillId="0" borderId="1" xfId="2" applyNumberFormat="1" applyFont="1" applyBorder="1" applyAlignment="1" applyProtection="1">
      <alignment horizontal="center"/>
      <protection hidden="1"/>
    </xf>
    <xf numFmtId="176" fontId="0" fillId="0" borderId="6" xfId="0" applyNumberFormat="1" applyBorder="1"/>
    <xf numFmtId="176" fontId="0" fillId="0" borderId="10" xfId="0" applyNumberFormat="1" applyBorder="1"/>
    <xf numFmtId="186" fontId="0" fillId="0" borderId="9" xfId="0" applyNumberFormat="1" applyBorder="1"/>
    <xf numFmtId="186" fontId="0" fillId="0" borderId="5" xfId="0" applyNumberFormat="1" applyBorder="1"/>
    <xf numFmtId="186" fontId="0" fillId="0" borderId="11" xfId="0" applyNumberFormat="1" applyBorder="1"/>
    <xf numFmtId="186" fontId="0" fillId="0" borderId="3" xfId="0" applyNumberFormat="1" applyBorder="1"/>
    <xf numFmtId="186" fontId="0" fillId="0" borderId="12" xfId="0" applyNumberFormat="1" applyBorder="1"/>
    <xf numFmtId="176" fontId="18" fillId="0" borderId="7" xfId="0" applyNumberFormat="1" applyFont="1" applyBorder="1"/>
    <xf numFmtId="176" fontId="18" fillId="0" borderId="4" xfId="0" applyNumberFormat="1" applyFont="1" applyBorder="1"/>
    <xf numFmtId="176" fontId="18" fillId="0" borderId="8" xfId="0" applyNumberFormat="1" applyFont="1" applyBorder="1"/>
    <xf numFmtId="181" fontId="19" fillId="0" borderId="0" xfId="0" applyNumberFormat="1" applyFont="1"/>
    <xf numFmtId="176" fontId="0" fillId="0" borderId="14" xfId="6" applyNumberFormat="1" applyFont="1" applyBorder="1"/>
    <xf numFmtId="176" fontId="0" fillId="0" borderId="13" xfId="6" applyNumberFormat="1" applyFont="1" applyBorder="1"/>
    <xf numFmtId="172" fontId="11" fillId="0" borderId="0" xfId="0" applyNumberFormat="1" applyFont="1"/>
    <xf numFmtId="0" fontId="5" fillId="0" borderId="0" xfId="0" applyFont="1" applyAlignment="1" applyProtection="1">
      <alignment horizontal="center"/>
      <protection hidden="1"/>
    </xf>
    <xf numFmtId="0" fontId="5" fillId="4" borderId="9" xfId="0" applyFont="1" applyFill="1" applyBorder="1"/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169" fontId="5" fillId="0" borderId="8" xfId="2" applyNumberFormat="1" applyFont="1" applyBorder="1" applyAlignment="1">
      <alignment horizontal="center"/>
    </xf>
    <xf numFmtId="167" fontId="5" fillId="0" borderId="14" xfId="1" applyNumberFormat="1" applyFont="1" applyBorder="1"/>
    <xf numFmtId="167" fontId="5" fillId="0" borderId="15" xfId="1" applyNumberFormat="1" applyFont="1" applyBorder="1"/>
    <xf numFmtId="167" fontId="5" fillId="0" borderId="13" xfId="1" applyNumberFormat="1" applyFont="1" applyBorder="1"/>
    <xf numFmtId="169" fontId="7" fillId="0" borderId="0" xfId="2" applyNumberFormat="1" applyFont="1" applyAlignment="1">
      <alignment horizontal="left"/>
    </xf>
    <xf numFmtId="169" fontId="5" fillId="0" borderId="3" xfId="2" applyNumberFormat="1" applyFont="1" applyBorder="1"/>
    <xf numFmtId="169" fontId="5" fillId="0" borderId="6" xfId="2" applyNumberFormat="1" applyFont="1" applyBorder="1"/>
    <xf numFmtId="169" fontId="5" fillId="0" borderId="11" xfId="2" applyNumberFormat="1" applyFont="1" applyBorder="1"/>
    <xf numFmtId="169" fontId="7" fillId="0" borderId="0" xfId="2" applyNumberFormat="1" applyFont="1" applyAlignment="1">
      <alignment horizontal="center"/>
    </xf>
    <xf numFmtId="169" fontId="5" fillId="0" borderId="9" xfId="2" applyNumberFormat="1" applyFont="1" applyBorder="1"/>
    <xf numFmtId="10" fontId="8" fillId="0" borderId="2" xfId="0" applyNumberFormat="1" applyFont="1" applyBorder="1" applyProtection="1">
      <protection hidden="1"/>
    </xf>
    <xf numFmtId="169" fontId="7" fillId="0" borderId="6" xfId="2" applyNumberFormat="1" applyFont="1" applyBorder="1"/>
    <xf numFmtId="169" fontId="7" fillId="0" borderId="1" xfId="2" applyNumberFormat="1" applyFont="1" applyBorder="1"/>
    <xf numFmtId="169" fontId="7" fillId="0" borderId="3" xfId="2" applyNumberFormat="1" applyFont="1" applyBorder="1"/>
    <xf numFmtId="172" fontId="5" fillId="0" borderId="0" xfId="0" applyNumberFormat="1" applyFont="1"/>
    <xf numFmtId="37" fontId="5" fillId="0" borderId="6" xfId="0" applyNumberFormat="1" applyFont="1" applyBorder="1" applyAlignment="1">
      <alignment horizontal="center"/>
    </xf>
    <xf numFmtId="169" fontId="5" fillId="0" borderId="9" xfId="2" applyNumberFormat="1" applyFont="1" applyFill="1" applyBorder="1" applyAlignment="1">
      <alignment horizontal="center"/>
    </xf>
    <xf numFmtId="169" fontId="7" fillId="0" borderId="7" xfId="2" applyNumberFormat="1" applyFont="1" applyFill="1" applyBorder="1" applyAlignment="1">
      <alignment horizontal="center"/>
    </xf>
    <xf numFmtId="169" fontId="7" fillId="0" borderId="4" xfId="2" applyNumberFormat="1" applyFont="1" applyFill="1" applyBorder="1" applyAlignment="1">
      <alignment horizontal="center"/>
    </xf>
    <xf numFmtId="10" fontId="9" fillId="0" borderId="0" xfId="1" applyNumberFormat="1" applyFont="1" applyFill="1" applyAlignment="1">
      <alignment horizontal="center"/>
    </xf>
    <xf numFmtId="10" fontId="7" fillId="0" borderId="2" xfId="1" applyNumberFormat="1" applyFont="1" applyFill="1" applyBorder="1" applyAlignment="1">
      <alignment horizontal="center"/>
    </xf>
    <xf numFmtId="10" fontId="21" fillId="0" borderId="7" xfId="1" applyNumberFormat="1" applyFont="1" applyFill="1" applyBorder="1" applyAlignment="1">
      <alignment horizontal="center"/>
    </xf>
    <xf numFmtId="10" fontId="21" fillId="0" borderId="4" xfId="1" applyNumberFormat="1" applyFont="1" applyFill="1" applyBorder="1" applyAlignment="1">
      <alignment horizontal="center"/>
    </xf>
    <xf numFmtId="10" fontId="21" fillId="0" borderId="8" xfId="1" applyNumberFormat="1" applyFont="1" applyFill="1" applyBorder="1" applyAlignment="1">
      <alignment horizontal="center"/>
    </xf>
    <xf numFmtId="181" fontId="21" fillId="0" borderId="14" xfId="1" applyNumberFormat="1" applyFont="1" applyFill="1" applyBorder="1" applyAlignment="1">
      <alignment horizontal="center"/>
    </xf>
    <xf numFmtId="181" fontId="21" fillId="0" borderId="7" xfId="1" applyNumberFormat="1" applyFont="1" applyFill="1" applyBorder="1" applyAlignment="1">
      <alignment horizontal="center"/>
    </xf>
    <xf numFmtId="181" fontId="21" fillId="0" borderId="4" xfId="1" applyNumberFormat="1" applyFont="1" applyFill="1" applyBorder="1" applyAlignment="1">
      <alignment horizontal="center"/>
    </xf>
    <xf numFmtId="181" fontId="21" fillId="0" borderId="8" xfId="1" applyNumberFormat="1" applyFont="1" applyFill="1" applyBorder="1" applyAlignment="1">
      <alignment horizontal="center"/>
    </xf>
    <xf numFmtId="188" fontId="7" fillId="0" borderId="2" xfId="2" applyNumberFormat="1" applyFont="1" applyBorder="1" applyAlignment="1">
      <alignment horizontal="center"/>
    </xf>
    <xf numFmtId="166" fontId="5" fillId="0" borderId="4" xfId="6" applyFont="1" applyBorder="1" applyProtection="1">
      <protection hidden="1"/>
    </xf>
    <xf numFmtId="167" fontId="5" fillId="0" borderId="0" xfId="1" applyNumberFormat="1" applyFont="1" applyFill="1" applyProtection="1">
      <protection hidden="1"/>
    </xf>
    <xf numFmtId="171" fontId="11" fillId="0" borderId="0" xfId="2" applyNumberFormat="1" applyFont="1" applyProtection="1">
      <protection hidden="1"/>
    </xf>
    <xf numFmtId="166" fontId="8" fillId="0" borderId="4" xfId="6" applyFont="1" applyBorder="1" applyAlignment="1" applyProtection="1">
      <alignment horizontal="center"/>
      <protection hidden="1"/>
    </xf>
    <xf numFmtId="166" fontId="8" fillId="0" borderId="5" xfId="6" applyFont="1" applyBorder="1" applyProtection="1">
      <protection hidden="1"/>
    </xf>
    <xf numFmtId="166" fontId="5" fillId="0" borderId="5" xfId="6" applyFont="1" applyBorder="1" applyProtection="1">
      <protection hidden="1"/>
    </xf>
    <xf numFmtId="189" fontId="14" fillId="0" borderId="0" xfId="0" applyNumberFormat="1" applyFont="1"/>
    <xf numFmtId="37" fontId="11" fillId="0" borderId="0" xfId="2" applyNumberFormat="1" applyFont="1" applyFill="1" applyBorder="1"/>
    <xf numFmtId="166" fontId="11" fillId="0" borderId="0" xfId="6" applyFont="1" applyFill="1" applyBorder="1"/>
    <xf numFmtId="0" fontId="5" fillId="0" borderId="9" xfId="0" applyFont="1" applyBorder="1"/>
    <xf numFmtId="176" fontId="5" fillId="0" borderId="5" xfId="6" applyNumberFormat="1" applyFont="1" applyBorder="1"/>
    <xf numFmtId="176" fontId="5" fillId="0" borderId="0" xfId="6" applyNumberFormat="1" applyFont="1" applyBorder="1"/>
    <xf numFmtId="169" fontId="5" fillId="0" borderId="2" xfId="2" applyNumberFormat="1" applyFont="1" applyBorder="1"/>
    <xf numFmtId="171" fontId="8" fillId="0" borderId="0" xfId="2" applyNumberFormat="1" applyFont="1" applyProtection="1">
      <protection hidden="1"/>
    </xf>
    <xf numFmtId="0" fontId="19" fillId="0" borderId="0" xfId="0" applyFont="1" applyAlignment="1">
      <alignment horizontal="left" indent="1"/>
    </xf>
    <xf numFmtId="190" fontId="0" fillId="0" borderId="0" xfId="0" applyNumberFormat="1"/>
    <xf numFmtId="182" fontId="8" fillId="0" borderId="15" xfId="0" applyNumberFormat="1" applyFont="1" applyBorder="1" applyAlignment="1">
      <alignment horizontal="center" vertical="top" wrapText="1"/>
    </xf>
    <xf numFmtId="167" fontId="8" fillId="0" borderId="14" xfId="1" applyNumberFormat="1" applyFont="1" applyBorder="1" applyAlignment="1" applyProtection="1">
      <alignment horizontal="center"/>
      <protection hidden="1"/>
    </xf>
    <xf numFmtId="167" fontId="8" fillId="0" borderId="15" xfId="1" applyNumberFormat="1" applyFont="1" applyBorder="1" applyAlignment="1" applyProtection="1">
      <alignment horizontal="center"/>
      <protection hidden="1"/>
    </xf>
    <xf numFmtId="167" fontId="8" fillId="0" borderId="13" xfId="1" applyNumberFormat="1" applyFont="1" applyBorder="1" applyAlignment="1" applyProtection="1">
      <alignment horizontal="center"/>
      <protection hidden="1"/>
    </xf>
    <xf numFmtId="0" fontId="0" fillId="0" borderId="0" xfId="0" quotePrefix="1"/>
    <xf numFmtId="0" fontId="0" fillId="0" borderId="2" xfId="0" applyBorder="1" applyAlignment="1">
      <alignment horizontal="center"/>
    </xf>
    <xf numFmtId="179" fontId="0" fillId="0" borderId="2" xfId="0" applyNumberFormat="1" applyBorder="1" applyAlignment="1">
      <alignment horizontal="center"/>
    </xf>
    <xf numFmtId="191" fontId="22" fillId="0" borderId="2" xfId="0" applyNumberFormat="1" applyFont="1" applyBorder="1" applyAlignment="1">
      <alignment horizontal="center"/>
    </xf>
    <xf numFmtId="0" fontId="5" fillId="0" borderId="6" xfId="0" applyFont="1" applyBorder="1"/>
    <xf numFmtId="176" fontId="5" fillId="0" borderId="10" xfId="6" applyNumberFormat="1" applyFont="1" applyBorder="1"/>
    <xf numFmtId="0" fontId="5" fillId="0" borderId="11" xfId="0" applyFont="1" applyBorder="1"/>
    <xf numFmtId="0" fontId="5" fillId="0" borderId="3" xfId="0" applyFont="1" applyBorder="1"/>
    <xf numFmtId="175" fontId="5" fillId="0" borderId="10" xfId="0" applyNumberFormat="1" applyFont="1" applyBorder="1" applyAlignment="1">
      <alignment horizontal="center"/>
    </xf>
    <xf numFmtId="0" fontId="7" fillId="0" borderId="7" xfId="0" applyFont="1" applyBorder="1"/>
    <xf numFmtId="0" fontId="7" fillId="0" borderId="4" xfId="0" applyFont="1" applyBorder="1"/>
    <xf numFmtId="176" fontId="7" fillId="0" borderId="8" xfId="6" applyNumberFormat="1" applyFont="1" applyBorder="1"/>
    <xf numFmtId="0" fontId="23" fillId="0" borderId="1" xfId="7" applyFill="1" applyBorder="1"/>
    <xf numFmtId="167" fontId="5" fillId="0" borderId="1" xfId="1" applyNumberFormat="1" applyFont="1" applyFill="1" applyBorder="1" applyProtection="1">
      <protection hidden="1"/>
    </xf>
    <xf numFmtId="172" fontId="8" fillId="0" borderId="0" xfId="2" applyNumberFormat="1" applyFont="1" applyProtection="1">
      <protection hidden="1"/>
    </xf>
    <xf numFmtId="174" fontId="8" fillId="0" borderId="0" xfId="2" applyNumberFormat="1" applyFont="1" applyProtection="1">
      <protection hidden="1"/>
    </xf>
    <xf numFmtId="176" fontId="8" fillId="0" borderId="13" xfId="0" applyNumberFormat="1" applyFont="1" applyBorder="1" applyProtection="1">
      <protection hidden="1"/>
    </xf>
    <xf numFmtId="171" fontId="8" fillId="0" borderId="1" xfId="2" applyNumberFormat="1" applyFont="1" applyBorder="1" applyProtection="1">
      <protection hidden="1"/>
    </xf>
    <xf numFmtId="10" fontId="8" fillId="0" borderId="0" xfId="0" applyNumberFormat="1" applyFont="1" applyProtection="1">
      <protection hidden="1"/>
    </xf>
    <xf numFmtId="167" fontId="8" fillId="0" borderId="0" xfId="1" applyNumberFormat="1" applyFont="1" applyProtection="1">
      <protection hidden="1"/>
    </xf>
    <xf numFmtId="175" fontId="5" fillId="0" borderId="6" xfId="6" applyNumberFormat="1" applyFont="1" applyBorder="1" applyAlignment="1">
      <alignment horizontal="center"/>
    </xf>
    <xf numFmtId="179" fontId="0" fillId="0" borderId="14" xfId="0" applyNumberFormat="1" applyBorder="1" applyAlignment="1">
      <alignment horizontal="center"/>
    </xf>
    <xf numFmtId="180" fontId="5" fillId="0" borderId="2" xfId="0" applyNumberFormat="1" applyFont="1" applyBorder="1" applyAlignment="1">
      <alignment horizontal="center"/>
    </xf>
    <xf numFmtId="171" fontId="8" fillId="0" borderId="14" xfId="0" applyNumberFormat="1" applyFont="1" applyBorder="1" applyAlignment="1">
      <alignment horizontal="center"/>
    </xf>
    <xf numFmtId="184" fontId="5" fillId="0" borderId="12" xfId="0" applyNumberFormat="1" applyFont="1" applyBorder="1" applyProtection="1">
      <protection hidden="1"/>
    </xf>
    <xf numFmtId="9" fontId="0" fillId="0" borderId="0" xfId="1" applyFont="1"/>
    <xf numFmtId="167" fontId="0" fillId="0" borderId="0" xfId="1" applyNumberFormat="1" applyFont="1"/>
    <xf numFmtId="181" fontId="5" fillId="0" borderId="0" xfId="0" applyNumberFormat="1" applyFont="1"/>
    <xf numFmtId="0" fontId="24" fillId="4" borderId="0" xfId="0" applyFont="1" applyFill="1"/>
    <xf numFmtId="0" fontId="24" fillId="0" borderId="0" xfId="0" applyFont="1"/>
    <xf numFmtId="37" fontId="0" fillId="0" borderId="0" xfId="0" applyNumberFormat="1"/>
    <xf numFmtId="37" fontId="5" fillId="0" borderId="7" xfId="2" applyNumberFormat="1" applyFont="1" applyBorder="1"/>
    <xf numFmtId="37" fontId="8" fillId="0" borderId="15" xfId="6" applyNumberFormat="1" applyFont="1" applyFill="1" applyBorder="1"/>
    <xf numFmtId="169" fontId="5" fillId="0" borderId="7" xfId="2" applyNumberFormat="1" applyFont="1" applyFill="1" applyBorder="1"/>
    <xf numFmtId="169" fontId="5" fillId="0" borderId="4" xfId="2" applyNumberFormat="1" applyFont="1" applyFill="1" applyBorder="1"/>
    <xf numFmtId="169" fontId="7" fillId="0" borderId="7" xfId="2" applyNumberFormat="1" applyFont="1" applyBorder="1"/>
    <xf numFmtId="169" fontId="7" fillId="0" borderId="4" xfId="2" applyNumberFormat="1" applyFont="1" applyBorder="1"/>
    <xf numFmtId="186" fontId="18" fillId="0" borderId="4" xfId="0" applyNumberFormat="1" applyFont="1" applyBorder="1"/>
    <xf numFmtId="37" fontId="5" fillId="0" borderId="4" xfId="2" applyNumberFormat="1" applyFont="1" applyBorder="1"/>
    <xf numFmtId="169" fontId="5" fillId="5" borderId="0" xfId="2" applyNumberFormat="1" applyFont="1" applyFill="1" applyBorder="1"/>
    <xf numFmtId="169" fontId="5" fillId="5" borderId="5" xfId="2" applyNumberFormat="1" applyFont="1" applyFill="1" applyBorder="1"/>
    <xf numFmtId="193" fontId="5" fillId="0" borderId="0" xfId="2" applyNumberFormat="1" applyFont="1" applyAlignment="1">
      <alignment horizontal="center"/>
    </xf>
    <xf numFmtId="192" fontId="5" fillId="0" borderId="0" xfId="2" applyNumberFormat="1" applyFont="1" applyAlignment="1">
      <alignment horizontal="center"/>
    </xf>
    <xf numFmtId="194" fontId="5" fillId="0" borderId="1" xfId="1" applyNumberFormat="1" applyFont="1" applyBorder="1" applyProtection="1">
      <protection hidden="1"/>
    </xf>
    <xf numFmtId="194" fontId="5" fillId="0" borderId="0" xfId="1" applyNumberFormat="1" applyFont="1" applyProtection="1">
      <protection hidden="1"/>
    </xf>
    <xf numFmtId="194" fontId="5" fillId="0" borderId="0" xfId="1" applyNumberFormat="1" applyFont="1" applyFill="1" applyProtection="1">
      <protection hidden="1"/>
    </xf>
    <xf numFmtId="0" fontId="7" fillId="0" borderId="11" xfId="0" applyFont="1" applyBorder="1"/>
    <xf numFmtId="176" fontId="7" fillId="0" borderId="12" xfId="6" applyNumberFormat="1" applyFont="1" applyBorder="1"/>
    <xf numFmtId="176" fontId="5" fillId="0" borderId="12" xfId="6" applyNumberFormat="1" applyFont="1" applyBorder="1"/>
    <xf numFmtId="0" fontId="7" fillId="0" borderId="7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8" xfId="0" applyFont="1" applyBorder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textRotation="90"/>
      <protection hidden="1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0" xfId="4" applyFont="1" applyBorder="1"/>
  </cellXfs>
  <cellStyles count="8">
    <cellStyle name="Comma" xfId="2" builtinId="3"/>
    <cellStyle name="Comma 2" xfId="3" xr:uid="{00000000-0005-0000-0000-000001000000}"/>
    <cellStyle name="Currency" xfId="6" builtinId="4"/>
    <cellStyle name="Hyperlink" xfId="7" builtinId="8"/>
    <cellStyle name="Hyperlink 2 2" xfId="5" xr:uid="{AF086AC9-EB61-4752-AF62-DA4550E8DF38}"/>
    <cellStyle name="Normal" xfId="0" builtinId="0"/>
    <cellStyle name="Normal 2 2" xfId="4" xr:uid="{0BBF3A1B-B71C-4D93-9CA7-543BD039583B}"/>
    <cellStyle name="Percent" xfId="1" builtinId="5"/>
  </cellStyles>
  <dxfs count="10"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ED942D"/>
      <color rgb="FF99FF99"/>
      <color rgb="FF132E57"/>
      <color rgb="FF1E8496"/>
      <color rgb="FFED93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Construction Cost</a:t>
            </a:r>
          </a:p>
        </c:rich>
      </c:tx>
      <c:layout>
        <c:manualLayout>
          <c:xMode val="edge"/>
          <c:yMode val="edge"/>
          <c:x val="0.42507396449704143"/>
          <c:y val="9.98003992015968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8-4E4A-B543-90031A48F62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48-4E4A-B543-90031A48F62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848-4E4A-B543-90031A48F621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48-4E4A-B543-90031A48F621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848-4E4A-B543-90031A48F621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48-4E4A-B543-90031A48F6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848-4E4A-B543-90031A48F621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48-4E4A-B543-90031A48F621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848-4E4A-B543-90031A48F621}"/>
              </c:ext>
            </c:extLst>
          </c:dPt>
          <c:dLbls>
            <c:dLbl>
              <c:idx val="1"/>
              <c:layout>
                <c:manualLayout>
                  <c:x val="-8.7924931859479097E-2"/>
                  <c:y val="1.72033884985933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48-4E4A-B543-90031A48F621}"/>
                </c:ext>
              </c:extLst>
            </c:dLbl>
            <c:dLbl>
              <c:idx val="2"/>
              <c:layout>
                <c:manualLayout>
                  <c:x val="-2.0984295648325026E-2"/>
                  <c:y val="-1.3001752400710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48-4E4A-B543-90031A48F621}"/>
                </c:ext>
              </c:extLst>
            </c:dLbl>
            <c:dLbl>
              <c:idx val="3"/>
              <c:layout>
                <c:manualLayout>
                  <c:x val="-5.4678182783331856E-2"/>
                  <c:y val="2.382674396063915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8-4E4A-B543-90031A48F621}"/>
                </c:ext>
              </c:extLst>
            </c:dLbl>
            <c:dLbl>
              <c:idx val="4"/>
              <c:layout>
                <c:manualLayout>
                  <c:x val="-0.10396066777710479"/>
                  <c:y val="-3.118762475050129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953183520599252"/>
                      <c:h val="4.39038686987104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848-4E4A-B543-90031A48F621}"/>
                </c:ext>
              </c:extLst>
            </c:dLbl>
            <c:dLbl>
              <c:idx val="5"/>
              <c:layout>
                <c:manualLayout>
                  <c:x val="-0.11921839328146114"/>
                  <c:y val="-2.45866534647240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48-4E4A-B543-90031A48F621}"/>
                </c:ext>
              </c:extLst>
            </c:dLbl>
            <c:dLbl>
              <c:idx val="6"/>
              <c:layout>
                <c:manualLayout>
                  <c:x val="-0.14024178236965942"/>
                  <c:y val="-9.10323054678045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48-4E4A-B543-90031A48F621}"/>
                </c:ext>
              </c:extLst>
            </c:dLbl>
            <c:dLbl>
              <c:idx val="7"/>
              <c:layout>
                <c:manualLayout>
                  <c:x val="3.8318851045986119E-2"/>
                  <c:y val="-6.72735238185047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48-4E4A-B543-90031A48F6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'Solar Model'!$E$224:$E$232</c:f>
              <c:strCache>
                <c:ptCount val="9"/>
                <c:pt idx="0">
                  <c:v>EPC Contract</c:v>
                </c:pt>
                <c:pt idx="1">
                  <c:v>Land</c:v>
                </c:pt>
                <c:pt idx="2">
                  <c:v>Other Costs</c:v>
                </c:pt>
                <c:pt idx="3">
                  <c:v>Interconnection Costs</c:v>
                </c:pt>
                <c:pt idx="4">
                  <c:v>Acquisition Costs</c:v>
                </c:pt>
                <c:pt idx="5">
                  <c:v>Transaction Costs</c:v>
                </c:pt>
                <c:pt idx="6">
                  <c:v>Arrangement costs</c:v>
                </c:pt>
                <c:pt idx="7">
                  <c:v>Debt service reserve account</c:v>
                </c:pt>
                <c:pt idx="8">
                  <c:v>Contingency</c:v>
                </c:pt>
              </c:strCache>
            </c:strRef>
          </c:cat>
          <c:val>
            <c:numRef>
              <c:f>'Solar Model'!$G$224:$G$232</c:f>
              <c:numCache>
                <c:formatCode>_-"$"* #,##0_-;\-"$"* #,##0_-;_-"$"* "-"??_-;_-@_-</c:formatCode>
                <c:ptCount val="9"/>
                <c:pt idx="0">
                  <c:v>24675000</c:v>
                </c:pt>
                <c:pt idx="1">
                  <c:v>0</c:v>
                </c:pt>
                <c:pt idx="2">
                  <c:v>780000</c:v>
                </c:pt>
                <c:pt idx="3">
                  <c:v>1350000</c:v>
                </c:pt>
                <c:pt idx="4">
                  <c:v>530594.79623549932</c:v>
                </c:pt>
                <c:pt idx="5">
                  <c:v>450000</c:v>
                </c:pt>
                <c:pt idx="6">
                  <c:v>200000</c:v>
                </c:pt>
                <c:pt idx="7">
                  <c:v>1053081</c:v>
                </c:pt>
                <c:pt idx="8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8-4E4A-B543-90031A48F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132080</xdr:colOff>
      <xdr:row>222</xdr:row>
      <xdr:rowOff>81280</xdr:rowOff>
    </xdr:from>
    <xdr:to>
      <xdr:col>13</xdr:col>
      <xdr:colOff>416560</xdr:colOff>
      <xdr:row>250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A4590-CFD5-0754-DA84-CDA76A97D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ravani Goud Dindu" id="{F4217187-8E2C-254A-A159-5AB98C6C8713}" userId="S::shravanigoud.dindu@spartans.ut.edu::368ad366-5fea-401d-b062-abc1438ea3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1" dT="2025-07-14T01:25:39.43" personId="{F4217187-8E2C-254A-A159-5AB98C6C8713}" id="{6E5E5C9C-D4F8-EE49-A7AF-C1116E239710}">
    <text>Swap+Base+Spread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5B91-2E29-44F1-BDF0-7E7EAFF62919}">
  <sheetPr codeName="Sheet1"/>
  <dimension ref="B1:O46"/>
  <sheetViews>
    <sheetView showGridLines="0" tabSelected="1" zoomScaleNormal="100" workbookViewId="0">
      <selection activeCell="F17" sqref="F17"/>
    </sheetView>
  </sheetViews>
  <sheetFormatPr baseColWidth="10" defaultColWidth="9.1640625" defaultRowHeight="14" x14ac:dyDescent="0.15"/>
  <cols>
    <col min="1" max="2" width="11" style="49" customWidth="1"/>
    <col min="3" max="3" width="33.1640625" style="49" customWidth="1"/>
    <col min="4" max="22" width="11" style="49" customWidth="1"/>
    <col min="23" max="25" width="9.1640625" style="49"/>
    <col min="26" max="26" width="9.1640625" style="49" customWidth="1"/>
    <col min="27" max="16384" width="9.1640625" style="49"/>
  </cols>
  <sheetData>
    <row r="1" spans="2:15" ht="19.5" customHeight="1" x14ac:dyDescent="0.15"/>
    <row r="2" spans="2:15" ht="19.5" customHeight="1" x14ac:dyDescent="0.15"/>
    <row r="3" spans="2:15" ht="19.5" customHeight="1" x14ac:dyDescent="0.1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19.5" customHeight="1" x14ac:dyDescent="0.15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2:15" ht="19.5" customHeight="1" x14ac:dyDescent="0.15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19.5" customHeight="1" x14ac:dyDescent="0.15"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2:15" ht="19.5" customHeight="1" x14ac:dyDescent="0.15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2:15" ht="19.5" customHeight="1" x14ac:dyDescent="0.15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2:15" ht="19.5" customHeight="1" x14ac:dyDescent="0.15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2:15" ht="19.5" customHeight="1" x14ac:dyDescent="0.15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2:15" ht="19.5" customHeight="1" x14ac:dyDescent="0.15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2:15" ht="28" x14ac:dyDescent="0.3">
      <c r="B12" s="50"/>
      <c r="C12" s="51" t="s">
        <v>131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2"/>
      <c r="O12" s="50"/>
    </row>
    <row r="13" spans="2:15" ht="19.5" customHeight="1" x14ac:dyDescent="0.15">
      <c r="B13" s="50"/>
      <c r="C13" s="53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2:15" ht="19.5" customHeight="1" x14ac:dyDescent="0.15">
      <c r="B14" s="50"/>
      <c r="C14" s="54" t="s">
        <v>12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2:15" ht="19.5" customHeight="1" x14ac:dyDescent="0.2">
      <c r="B15" s="50"/>
      <c r="C15" s="193" t="str">
        <f ca="1">RIGHT(CELL("filename",'Solar Model'!A1),LEN(CELL("filename",'Solar Model'!A1))-FIND("]",CELL("filename",'Solar Model'!A1)))</f>
        <v>Solar Model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2:15" ht="19.5" customHeight="1" x14ac:dyDescent="0.2">
      <c r="B16" s="50"/>
      <c r="C16" s="55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2:15" ht="19.5" customHeight="1" x14ac:dyDescent="0.2">
      <c r="B17" s="50"/>
      <c r="C17" s="55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2:15" ht="19.5" customHeight="1" x14ac:dyDescent="0.15">
      <c r="B18" s="50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50"/>
    </row>
    <row r="19" spans="2:15" ht="19.5" customHeight="1" x14ac:dyDescent="0.15">
      <c r="B19" s="50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50"/>
    </row>
    <row r="20" spans="2:15" ht="19.5" customHeight="1" x14ac:dyDescent="0.15">
      <c r="B20" s="50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0"/>
    </row>
    <row r="21" spans="2:15" ht="19.5" customHeight="1" x14ac:dyDescent="0.15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2:15" ht="19.5" customHeight="1" x14ac:dyDescent="0.15">
      <c r="B22" s="50"/>
      <c r="C22" s="57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2:15" ht="19.5" customHeight="1" x14ac:dyDescent="0.15">
      <c r="B23" s="50"/>
      <c r="C23" s="57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2:15" ht="19.5" customHeight="1" x14ac:dyDescent="0.15">
      <c r="B24" s="50"/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0"/>
    </row>
    <row r="25" spans="2:15" ht="19.5" customHeight="1" x14ac:dyDescent="0.15">
      <c r="B25" s="60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0"/>
    </row>
    <row r="26" spans="2:15" ht="19.5" customHeight="1" x14ac:dyDescent="0.15">
      <c r="B26" s="60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0"/>
    </row>
    <row r="27" spans="2:15" ht="19.5" customHeight="1" x14ac:dyDescent="0.15">
      <c r="B27" s="60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0"/>
    </row>
    <row r="28" spans="2:15" ht="19.5" customHeight="1" x14ac:dyDescent="0.15">
      <c r="B28" s="60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0"/>
    </row>
    <row r="29" spans="2:15" ht="19.5" customHeight="1" x14ac:dyDescent="0.1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2:15" ht="19.5" customHeight="1" x14ac:dyDescent="0.15"/>
    <row r="31" spans="2:15" ht="19.5" customHeight="1" x14ac:dyDescent="0.15"/>
    <row r="32" spans="2:15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</sheetData>
  <hyperlinks>
    <hyperlink ref="C15" location="'Solar Model'!A1" display="'Solar Model'!A1" xr:uid="{1CF599C2-98E1-4BF3-870A-96FD25B3F115}"/>
  </hyperlinks>
  <pageMargins left="0.7" right="0.7" top="0.75" bottom="0.75" header="0.3" footer="0.3"/>
  <pageSetup scale="64" orientation="landscape" r:id="rId1"/>
  <ignoredErrors>
    <ignoredError sqref="C1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K261"/>
  <sheetViews>
    <sheetView showGridLines="0" zoomScale="75" zoomScaleNormal="90" workbookViewId="0">
      <pane ySplit="3" topLeftCell="A111" activePane="bottomLeft" state="frozen"/>
      <selection activeCell="B314" sqref="B314"/>
      <selection pane="bottomLeft" activeCell="G224" sqref="G224:G233"/>
    </sheetView>
  </sheetViews>
  <sheetFormatPr baseColWidth="10" defaultColWidth="11.1640625" defaultRowHeight="14" outlineLevelRow="1" x14ac:dyDescent="0.15"/>
  <cols>
    <col min="1" max="1" width="5.83203125" style="9" customWidth="1"/>
    <col min="2" max="2" width="19" style="9" customWidth="1"/>
    <col min="3" max="3" width="11.5" style="9" bestFit="1" customWidth="1"/>
    <col min="4" max="4" width="22.5" style="9" customWidth="1"/>
    <col min="5" max="10" width="13.83203125" style="9" customWidth="1"/>
    <col min="11" max="12" width="15.5" style="9" bestFit="1" customWidth="1"/>
    <col min="13" max="36" width="13.83203125" style="9" customWidth="1"/>
    <col min="37" max="16384" width="11.1640625" style="9"/>
  </cols>
  <sheetData>
    <row r="1" spans="1:37" s="37" customFormat="1" ht="16.5" customHeight="1" x14ac:dyDescent="0.15">
      <c r="A1" s="8" t="s">
        <v>136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7" s="37" customFormat="1" ht="16.5" customHeight="1" x14ac:dyDescent="0.2">
      <c r="A2" s="6"/>
      <c r="B2" s="7"/>
      <c r="C2" s="35"/>
      <c r="D2" s="35"/>
      <c r="E2" s="35"/>
      <c r="F2" s="86">
        <f>C13</f>
        <v>43646</v>
      </c>
      <c r="G2" s="86">
        <f>EOMONTH(C12,5)</f>
        <v>44012</v>
      </c>
      <c r="H2" s="86">
        <f>IFERROR(IF(YEAR(G2)+1&lt;YEAR($C$12)+$C$11,EOMONTH(G2,12),""),"")</f>
        <v>44377</v>
      </c>
      <c r="I2" s="86">
        <f t="shared" ref="I2:AJ2" si="0">IFERROR(IF(YEAR(H2)+1&lt;YEAR($C$12)+$C$11,EOMONTH(H2,12),""),"")</f>
        <v>44742</v>
      </c>
      <c r="J2" s="86">
        <f t="shared" si="0"/>
        <v>45107</v>
      </c>
      <c r="K2" s="86">
        <f t="shared" si="0"/>
        <v>45473</v>
      </c>
      <c r="L2" s="86">
        <f t="shared" si="0"/>
        <v>45838</v>
      </c>
      <c r="M2" s="86">
        <f t="shared" si="0"/>
        <v>46203</v>
      </c>
      <c r="N2" s="86">
        <f t="shared" si="0"/>
        <v>46568</v>
      </c>
      <c r="O2" s="86">
        <f t="shared" si="0"/>
        <v>46934</v>
      </c>
      <c r="P2" s="86">
        <f t="shared" si="0"/>
        <v>47299</v>
      </c>
      <c r="Q2" s="86">
        <f t="shared" si="0"/>
        <v>47664</v>
      </c>
      <c r="R2" s="86">
        <f t="shared" si="0"/>
        <v>48029</v>
      </c>
      <c r="S2" s="86">
        <f t="shared" si="0"/>
        <v>48395</v>
      </c>
      <c r="T2" s="86">
        <f t="shared" si="0"/>
        <v>48760</v>
      </c>
      <c r="U2" s="86">
        <f t="shared" si="0"/>
        <v>49125</v>
      </c>
      <c r="V2" s="86">
        <f t="shared" si="0"/>
        <v>49490</v>
      </c>
      <c r="W2" s="86">
        <f t="shared" si="0"/>
        <v>49856</v>
      </c>
      <c r="X2" s="86">
        <f t="shared" si="0"/>
        <v>50221</v>
      </c>
      <c r="Y2" s="86">
        <f t="shared" si="0"/>
        <v>50586</v>
      </c>
      <c r="Z2" s="86">
        <f t="shared" si="0"/>
        <v>50951</v>
      </c>
      <c r="AA2" s="86">
        <f t="shared" si="0"/>
        <v>51317</v>
      </c>
      <c r="AB2" s="86">
        <f t="shared" si="0"/>
        <v>51682</v>
      </c>
      <c r="AC2" s="86">
        <f t="shared" si="0"/>
        <v>52047</v>
      </c>
      <c r="AD2" s="86">
        <f t="shared" si="0"/>
        <v>52412</v>
      </c>
      <c r="AE2" s="86">
        <f t="shared" si="0"/>
        <v>52778</v>
      </c>
      <c r="AF2" s="86">
        <f t="shared" si="0"/>
        <v>53143</v>
      </c>
      <c r="AG2" s="86">
        <f t="shared" si="0"/>
        <v>53508</v>
      </c>
      <c r="AH2" s="86">
        <f t="shared" si="0"/>
        <v>53873</v>
      </c>
      <c r="AI2" s="86">
        <f t="shared" si="0"/>
        <v>54239</v>
      </c>
      <c r="AJ2" s="86">
        <f t="shared" si="0"/>
        <v>54604</v>
      </c>
    </row>
    <row r="3" spans="1:37" s="1" customFormat="1" x14ac:dyDescent="0.15">
      <c r="A3" s="2"/>
      <c r="B3" s="2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5" spans="1:37" s="38" customFormat="1" ht="18.75" customHeight="1" x14ac:dyDescent="0.2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7" ht="16.5" customHeight="1" outlineLevel="1" x14ac:dyDescent="0.15">
      <c r="A6" s="10"/>
      <c r="B6" s="10"/>
      <c r="C6" s="10"/>
    </row>
    <row r="7" spans="1:37" ht="16.5" customHeight="1" outlineLevel="1" x14ac:dyDescent="0.15">
      <c r="A7" s="230" t="s">
        <v>39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2"/>
    </row>
    <row r="8" spans="1:37" ht="16.5" customHeight="1" outlineLevel="1" x14ac:dyDescent="0.2">
      <c r="AA8"/>
      <c r="AB8"/>
      <c r="AC8"/>
      <c r="AD8"/>
      <c r="AE8"/>
      <c r="AF8"/>
      <c r="AG8"/>
    </row>
    <row r="9" spans="1:37" ht="16.5" customHeight="1" outlineLevel="1" x14ac:dyDescent="0.2">
      <c r="A9" s="10" t="s">
        <v>17</v>
      </c>
      <c r="C9" s="12"/>
      <c r="E9" s="10" t="s">
        <v>25</v>
      </c>
      <c r="I9" s="74" t="s">
        <v>8</v>
      </c>
      <c r="J9" s="12"/>
      <c r="K9" s="12"/>
      <c r="L9" s="12"/>
      <c r="M9" s="12"/>
      <c r="N9"/>
      <c r="O9" s="10" t="s">
        <v>13</v>
      </c>
      <c r="T9"/>
      <c r="AA9"/>
      <c r="AB9"/>
      <c r="AC9"/>
      <c r="AD9"/>
      <c r="AE9"/>
      <c r="AF9"/>
      <c r="AG9"/>
      <c r="AH9"/>
      <c r="AI9"/>
      <c r="AJ9"/>
      <c r="AK9"/>
    </row>
    <row r="10" spans="1:37" ht="16.5" customHeight="1" outlineLevel="1" x14ac:dyDescent="0.2">
      <c r="A10" s="11" t="s">
        <v>18</v>
      </c>
      <c r="B10" s="11"/>
      <c r="C10" s="199">
        <v>0.02</v>
      </c>
      <c r="E10" s="11" t="s">
        <v>27</v>
      </c>
      <c r="F10" s="11"/>
      <c r="G10" s="113" t="s">
        <v>28</v>
      </c>
      <c r="O10" s="11" t="s">
        <v>14</v>
      </c>
      <c r="P10" s="11"/>
      <c r="Q10" s="198">
        <v>20</v>
      </c>
      <c r="T10"/>
      <c r="AA10"/>
      <c r="AB10"/>
      <c r="AC10"/>
      <c r="AD10"/>
      <c r="AE10"/>
      <c r="AF10"/>
      <c r="AG10"/>
      <c r="AH10"/>
      <c r="AI10"/>
      <c r="AJ10"/>
      <c r="AK10"/>
    </row>
    <row r="11" spans="1:37" ht="16.5" customHeight="1" outlineLevel="1" x14ac:dyDescent="0.2">
      <c r="A11" s="9" t="s">
        <v>113</v>
      </c>
      <c r="C11" s="174">
        <v>30</v>
      </c>
      <c r="G11" s="61"/>
      <c r="I11" s="17"/>
      <c r="J11" s="17"/>
      <c r="K11" s="17"/>
      <c r="L11" s="69" t="s">
        <v>30</v>
      </c>
      <c r="M11" s="69" t="s">
        <v>31</v>
      </c>
      <c r="O11" s="9" t="s">
        <v>15</v>
      </c>
      <c r="Q11" s="163">
        <f>C11-Q10</f>
        <v>10</v>
      </c>
      <c r="T11"/>
      <c r="AA11"/>
      <c r="AB11"/>
      <c r="AC11"/>
      <c r="AD11"/>
      <c r="AE11"/>
      <c r="AF11"/>
      <c r="AG11"/>
      <c r="AH11"/>
      <c r="AI11"/>
      <c r="AJ11"/>
      <c r="AK11"/>
    </row>
    <row r="12" spans="1:37" ht="16.5" customHeight="1" outlineLevel="1" x14ac:dyDescent="0.2">
      <c r="A12" s="9" t="s">
        <v>20</v>
      </c>
      <c r="C12" s="195">
        <v>43831</v>
      </c>
      <c r="E12" s="12"/>
      <c r="F12" s="87" t="s">
        <v>28</v>
      </c>
      <c r="G12"/>
      <c r="I12" s="17" t="s">
        <v>32</v>
      </c>
      <c r="J12" s="17"/>
      <c r="K12" s="72">
        <v>24675000</v>
      </c>
      <c r="L12" s="201">
        <f>K12/($C$15*1000000)</f>
        <v>0.98699999999999999</v>
      </c>
      <c r="M12" s="189">
        <f>K12/($C$16*1000000)</f>
        <v>1.2337499999999999</v>
      </c>
      <c r="O12" s="9" t="s">
        <v>16</v>
      </c>
      <c r="Q12" s="199">
        <v>0</v>
      </c>
      <c r="T12"/>
      <c r="AA12"/>
      <c r="AB12"/>
      <c r="AC12"/>
      <c r="AD12"/>
      <c r="AE12"/>
      <c r="AF12"/>
      <c r="AG12"/>
      <c r="AH12"/>
      <c r="AI12"/>
      <c r="AJ12"/>
      <c r="AK12"/>
    </row>
    <row r="13" spans="1:37" ht="16.5" customHeight="1" outlineLevel="1" x14ac:dyDescent="0.2">
      <c r="A13" s="9" t="s">
        <v>96</v>
      </c>
      <c r="C13" s="195">
        <v>43646</v>
      </c>
      <c r="E13" s="9" t="s">
        <v>28</v>
      </c>
      <c r="F13" s="88">
        <v>50370.000000000007</v>
      </c>
      <c r="G13"/>
      <c r="H13" s="17"/>
      <c r="I13" s="17" t="s">
        <v>33</v>
      </c>
      <c r="J13" s="17"/>
      <c r="K13" s="73">
        <v>0</v>
      </c>
      <c r="L13" s="201">
        <f t="shared" ref="L13:L20" si="1">K13/($C$15*1000000)</f>
        <v>0</v>
      </c>
      <c r="M13" s="189">
        <f t="shared" ref="M13:M20" si="2">K13/($C$16*1000000)</f>
        <v>0</v>
      </c>
      <c r="T13"/>
      <c r="AA13"/>
      <c r="AB13"/>
      <c r="AC13"/>
      <c r="AD13"/>
      <c r="AE13"/>
      <c r="AF13"/>
      <c r="AG13"/>
      <c r="AH13"/>
      <c r="AI13"/>
      <c r="AJ13"/>
      <c r="AK13"/>
    </row>
    <row r="14" spans="1:37" ht="16.5" customHeight="1" outlineLevel="1" x14ac:dyDescent="0.2">
      <c r="A14" s="9" t="s">
        <v>97</v>
      </c>
      <c r="C14" s="195">
        <v>43646</v>
      </c>
      <c r="E14" s="9" t="s">
        <v>59</v>
      </c>
      <c r="F14" s="88">
        <v>49110</v>
      </c>
      <c r="G14"/>
      <c r="H14" s="17"/>
      <c r="I14" s="17" t="s">
        <v>34</v>
      </c>
      <c r="J14" s="17"/>
      <c r="K14" s="73">
        <v>780000</v>
      </c>
      <c r="L14" s="201">
        <f t="shared" si="1"/>
        <v>3.1199999999999999E-2</v>
      </c>
      <c r="M14" s="189">
        <f t="shared" si="2"/>
        <v>3.9E-2</v>
      </c>
      <c r="O14" s="240" t="s">
        <v>19</v>
      </c>
      <c r="P14" s="241"/>
      <c r="Q14" s="241"/>
      <c r="R14" s="242"/>
      <c r="T14"/>
      <c r="AA14"/>
      <c r="AB14"/>
      <c r="AC14"/>
      <c r="AD14"/>
      <c r="AE14"/>
      <c r="AF14"/>
      <c r="AG14"/>
      <c r="AH14"/>
      <c r="AI14"/>
      <c r="AJ14"/>
      <c r="AK14"/>
    </row>
    <row r="15" spans="1:37" ht="16.5" customHeight="1" outlineLevel="1" x14ac:dyDescent="0.2">
      <c r="A15" s="9" t="s">
        <v>23</v>
      </c>
      <c r="C15" s="196">
        <v>25</v>
      </c>
      <c r="E15" s="9" t="s">
        <v>60</v>
      </c>
      <c r="F15" s="88">
        <v>46959.951000000008</v>
      </c>
      <c r="G15"/>
      <c r="H15" s="17"/>
      <c r="I15" s="17" t="s">
        <v>35</v>
      </c>
      <c r="J15" s="17"/>
      <c r="K15" s="73">
        <v>1350000</v>
      </c>
      <c r="L15" s="201">
        <f t="shared" si="1"/>
        <v>5.3999999999999999E-2</v>
      </c>
      <c r="M15" s="189">
        <f t="shared" si="2"/>
        <v>6.7500000000000004E-2</v>
      </c>
      <c r="O15" s="240" t="s">
        <v>21</v>
      </c>
      <c r="P15" s="242"/>
      <c r="Q15" s="240" t="s">
        <v>15</v>
      </c>
      <c r="R15" s="242"/>
      <c r="T15"/>
      <c r="AA15"/>
      <c r="AB15"/>
      <c r="AC15"/>
      <c r="AD15"/>
      <c r="AE15"/>
      <c r="AF15"/>
      <c r="AG15"/>
      <c r="AH15"/>
      <c r="AI15"/>
      <c r="AJ15"/>
    </row>
    <row r="16" spans="1:37" ht="16.5" customHeight="1" outlineLevel="1" x14ac:dyDescent="0.2">
      <c r="A16" s="9" t="s">
        <v>24</v>
      </c>
      <c r="C16" s="196">
        <v>20</v>
      </c>
      <c r="E16" s="9" t="s">
        <v>29</v>
      </c>
      <c r="F16" s="88">
        <v>44073</v>
      </c>
      <c r="G16"/>
      <c r="H16" s="17"/>
      <c r="I16" s="9" t="s">
        <v>132</v>
      </c>
      <c r="K16" s="73">
        <v>530594.79623549932</v>
      </c>
      <c r="L16" s="201">
        <f t="shared" si="1"/>
        <v>2.1223791849419974E-2</v>
      </c>
      <c r="M16" s="189">
        <f t="shared" si="2"/>
        <v>2.6529739811774967E-2</v>
      </c>
      <c r="O16" s="63" t="s">
        <v>22</v>
      </c>
      <c r="P16" s="64" t="s">
        <v>129</v>
      </c>
      <c r="Q16" s="63" t="s">
        <v>22</v>
      </c>
      <c r="R16" s="65" t="s">
        <v>129</v>
      </c>
      <c r="T16"/>
      <c r="AA16"/>
      <c r="AB16"/>
      <c r="AC16"/>
      <c r="AD16"/>
      <c r="AE16"/>
      <c r="AF16"/>
      <c r="AG16"/>
      <c r="AH16"/>
      <c r="AI16"/>
      <c r="AJ16"/>
    </row>
    <row r="17" spans="1:37" ht="16.5" customHeight="1" outlineLevel="1" x14ac:dyDescent="0.2">
      <c r="C17" s="62"/>
      <c r="E17"/>
      <c r="F17"/>
      <c r="G17"/>
      <c r="I17" s="17" t="s">
        <v>36</v>
      </c>
      <c r="J17" s="17"/>
      <c r="K17" s="73">
        <v>450000</v>
      </c>
      <c r="L17" s="201">
        <f t="shared" si="1"/>
        <v>1.7999999999999999E-2</v>
      </c>
      <c r="M17" s="189">
        <f t="shared" si="2"/>
        <v>2.2499999999999999E-2</v>
      </c>
      <c r="O17" s="67">
        <f>YEAR(C12)</f>
        <v>2020</v>
      </c>
      <c r="P17" s="92">
        <v>72.75</v>
      </c>
      <c r="Q17" s="67">
        <f>YEAR(C12)+Q10</f>
        <v>2040</v>
      </c>
      <c r="R17" s="102">
        <v>35</v>
      </c>
      <c r="T17"/>
      <c r="AA17"/>
      <c r="AB17"/>
      <c r="AC17"/>
      <c r="AD17"/>
      <c r="AE17"/>
      <c r="AF17"/>
      <c r="AG17"/>
      <c r="AH17"/>
      <c r="AI17"/>
      <c r="AJ17"/>
    </row>
    <row r="18" spans="1:37" ht="16.5" customHeight="1" outlineLevel="1" x14ac:dyDescent="0.2">
      <c r="A18" s="9" t="s">
        <v>26</v>
      </c>
      <c r="C18" s="200">
        <v>5.0000000000000001E-3</v>
      </c>
      <c r="F18" s="15"/>
      <c r="I18" s="17" t="s">
        <v>57</v>
      </c>
      <c r="J18" s="17"/>
      <c r="K18" s="73">
        <v>200000</v>
      </c>
      <c r="L18" s="201">
        <f t="shared" si="1"/>
        <v>8.0000000000000002E-3</v>
      </c>
      <c r="M18" s="189">
        <f t="shared" si="2"/>
        <v>0.01</v>
      </c>
      <c r="O18" s="67">
        <f>IFERROR(IF(O17+1&lt;$O$17+$Q$10,O17+1,""),"")</f>
        <v>2021</v>
      </c>
      <c r="P18" s="93">
        <f>IF(O18&lt;&gt;"",P17*(1+$Q$12)^(O18-O17),"")</f>
        <v>72.75</v>
      </c>
      <c r="Q18" s="67">
        <f>IFERROR(IF(Q17+1&lt;$Q$17+$Q$11,Q17+1,""),"")</f>
        <v>2041</v>
      </c>
      <c r="R18" s="94">
        <f>IF(Q18&lt;&gt;"",R17*(1+$Q$12)^(Q18-Q17),"")</f>
        <v>35</v>
      </c>
      <c r="T18"/>
      <c r="AA18"/>
      <c r="AB18"/>
      <c r="AC18"/>
      <c r="AD18"/>
      <c r="AE18"/>
      <c r="AF18"/>
      <c r="AG18"/>
      <c r="AH18"/>
      <c r="AI18"/>
      <c r="AJ18"/>
    </row>
    <row r="19" spans="1:37" ht="16.5" customHeight="1" outlineLevel="1" x14ac:dyDescent="0.2">
      <c r="C19" s="62"/>
      <c r="I19" s="17" t="s">
        <v>128</v>
      </c>
      <c r="J19" s="17"/>
      <c r="K19" s="213">
        <v>1053081</v>
      </c>
      <c r="L19" s="201">
        <f t="shared" si="1"/>
        <v>4.2123239999999999E-2</v>
      </c>
      <c r="M19" s="189">
        <f t="shared" si="2"/>
        <v>5.2654050000000001E-2</v>
      </c>
      <c r="O19" s="67">
        <f t="shared" ref="O19:O41" si="3">IFERROR(IF(O18+1&lt;$O$17+$Q$10,O18+1,""),"")</f>
        <v>2022</v>
      </c>
      <c r="P19" s="93">
        <f>IF(O19&lt;&gt;"",P18*(1+$Q$12)^(O19-O18),"")</f>
        <v>72.75</v>
      </c>
      <c r="Q19" s="67">
        <f>IFERROR(IF(Q18+1&lt;$Q$17+$Q$11,Q18+1,""),"")</f>
        <v>2042</v>
      </c>
      <c r="R19" s="94">
        <f>IF(Q19&lt;&gt;"",R18*(1+$Q$12)^(Q19-Q18),"")</f>
        <v>35</v>
      </c>
      <c r="T19"/>
      <c r="AA19"/>
      <c r="AB19"/>
      <c r="AC19"/>
      <c r="AD19"/>
      <c r="AE19"/>
      <c r="AF19"/>
      <c r="AG19"/>
      <c r="AH19"/>
      <c r="AI19"/>
      <c r="AJ19"/>
    </row>
    <row r="20" spans="1:37" ht="16.5" customHeight="1" outlineLevel="1" x14ac:dyDescent="0.2">
      <c r="C20" s="62"/>
      <c r="I20" s="9" t="s">
        <v>37</v>
      </c>
      <c r="K20" s="197">
        <v>1500000</v>
      </c>
      <c r="L20" s="201">
        <f t="shared" si="1"/>
        <v>0.06</v>
      </c>
      <c r="M20" s="189">
        <f t="shared" si="2"/>
        <v>7.4999999999999997E-2</v>
      </c>
      <c r="O20" s="67">
        <f t="shared" si="3"/>
        <v>2023</v>
      </c>
      <c r="P20" s="93">
        <f t="shared" ref="P20:P41" si="4">IF(O20&lt;&gt;"",P19*(1+$Q$12)^(O20-O19),"")</f>
        <v>72.75</v>
      </c>
      <c r="Q20" s="67">
        <f t="shared" ref="Q20:Q39" si="5">IFERROR(IF(Q19+1&lt;$Q$17+$Q$11,Q19+1,""),"")</f>
        <v>2043</v>
      </c>
      <c r="R20" s="94">
        <f t="shared" ref="R20:R41" si="6">IF(Q20&lt;&gt;"",R19*(1+$Q$12)^(Q20-Q19),"")</f>
        <v>35</v>
      </c>
      <c r="AA20"/>
      <c r="AB20"/>
    </row>
    <row r="21" spans="1:37" ht="16.5" customHeight="1" outlineLevel="1" x14ac:dyDescent="0.2">
      <c r="A21" s="74" t="s">
        <v>40</v>
      </c>
      <c r="B21" s="12"/>
      <c r="C21" s="12"/>
      <c r="D21" s="12"/>
      <c r="E21" s="12"/>
      <c r="F21" s="12"/>
      <c r="G21"/>
      <c r="I21" s="17" t="s">
        <v>38</v>
      </c>
      <c r="J21" s="17"/>
      <c r="K21" s="70">
        <f>SUM(K12:K20)</f>
        <v>30538675.796235498</v>
      </c>
      <c r="L21" s="71">
        <f>SUM(L12:L20)</f>
        <v>1.2215470318494202</v>
      </c>
      <c r="M21" s="71">
        <f>SUM(M12:M20)</f>
        <v>1.5269337898117745</v>
      </c>
      <c r="O21" s="67">
        <f t="shared" si="3"/>
        <v>2024</v>
      </c>
      <c r="P21" s="93">
        <f t="shared" si="4"/>
        <v>72.75</v>
      </c>
      <c r="Q21" s="67">
        <f t="shared" si="5"/>
        <v>2044</v>
      </c>
      <c r="R21" s="94">
        <f t="shared" si="6"/>
        <v>35</v>
      </c>
      <c r="AA21"/>
      <c r="AB21"/>
    </row>
    <row r="22" spans="1:37" ht="16.5" customHeight="1" outlineLevel="1" x14ac:dyDescent="0.2">
      <c r="A22"/>
      <c r="F22"/>
      <c r="G22"/>
      <c r="K22"/>
      <c r="N22"/>
      <c r="O22" s="67">
        <f t="shared" si="3"/>
        <v>2025</v>
      </c>
      <c r="P22" s="93">
        <f t="shared" si="4"/>
        <v>72.75</v>
      </c>
      <c r="Q22" s="67">
        <f t="shared" si="5"/>
        <v>2045</v>
      </c>
      <c r="R22" s="94">
        <f t="shared" si="6"/>
        <v>35</v>
      </c>
      <c r="T22"/>
      <c r="AA22"/>
      <c r="AB22"/>
      <c r="AC22"/>
      <c r="AD22"/>
      <c r="AE22"/>
      <c r="AF22"/>
      <c r="AG22"/>
      <c r="AH22"/>
      <c r="AI22"/>
      <c r="AJ22"/>
    </row>
    <row r="23" spans="1:37" ht="16.5" customHeight="1" outlineLevel="1" x14ac:dyDescent="0.2">
      <c r="A23"/>
      <c r="B23" s="17"/>
      <c r="C23" s="17"/>
      <c r="D23" s="76" t="s">
        <v>41</v>
      </c>
      <c r="E23" s="77" t="s">
        <v>42</v>
      </c>
      <c r="F23" s="182" t="s">
        <v>50</v>
      </c>
      <c r="G23"/>
      <c r="H23" s="74" t="s">
        <v>52</v>
      </c>
      <c r="I23" s="12"/>
      <c r="J23" s="12"/>
      <c r="K23"/>
      <c r="L23"/>
      <c r="M23"/>
      <c r="O23" s="67">
        <f t="shared" si="3"/>
        <v>2026</v>
      </c>
      <c r="P23" s="93">
        <f t="shared" si="4"/>
        <v>72.75</v>
      </c>
      <c r="Q23" s="67">
        <f t="shared" si="5"/>
        <v>2046</v>
      </c>
      <c r="R23" s="94">
        <f t="shared" si="6"/>
        <v>35</v>
      </c>
      <c r="T23"/>
      <c r="U23"/>
      <c r="V23"/>
      <c r="AB23"/>
      <c r="AC23"/>
      <c r="AD23"/>
      <c r="AE23"/>
      <c r="AF23"/>
      <c r="AG23"/>
      <c r="AH23"/>
      <c r="AI23"/>
      <c r="AJ23"/>
    </row>
    <row r="24" spans="1:37" ht="16.5" customHeight="1" outlineLevel="1" x14ac:dyDescent="0.2">
      <c r="A24" s="17" t="s">
        <v>43</v>
      </c>
      <c r="B24" s="17"/>
      <c r="C24" s="82">
        <v>276000</v>
      </c>
      <c r="D24" s="79">
        <v>1</v>
      </c>
      <c r="E24" s="80">
        <v>30</v>
      </c>
      <c r="F24" s="202">
        <f>C24/INDEX($F$13:$F$16,MATCH($G$10,$E$13:$E$16,0))</f>
        <v>5.4794520547945194</v>
      </c>
      <c r="H24"/>
      <c r="K24"/>
      <c r="O24" s="67">
        <f t="shared" si="3"/>
        <v>2027</v>
      </c>
      <c r="P24" s="93">
        <f t="shared" si="4"/>
        <v>72.75</v>
      </c>
      <c r="Q24" s="67">
        <f t="shared" si="5"/>
        <v>2047</v>
      </c>
      <c r="R24" s="94">
        <f t="shared" si="6"/>
        <v>35</v>
      </c>
      <c r="T24"/>
      <c r="U24"/>
      <c r="V24"/>
      <c r="AB24"/>
      <c r="AC24"/>
      <c r="AD24"/>
      <c r="AE24"/>
      <c r="AF24"/>
      <c r="AG24"/>
      <c r="AH24"/>
      <c r="AI24"/>
      <c r="AJ24"/>
      <c r="AK24"/>
    </row>
    <row r="25" spans="1:37" ht="16.5" customHeight="1" outlineLevel="1" x14ac:dyDescent="0.2">
      <c r="A25" s="75" t="s">
        <v>44</v>
      </c>
      <c r="B25" s="17"/>
      <c r="C25" s="82">
        <v>75000</v>
      </c>
      <c r="D25" s="79">
        <v>1</v>
      </c>
      <c r="E25" s="80">
        <v>30</v>
      </c>
      <c r="F25" s="202">
        <f>C25/INDEX($F$13:$F$16,MATCH($G$10,$E$13:$E$16,0))</f>
        <v>1.4889815366289456</v>
      </c>
      <c r="G25"/>
      <c r="H25"/>
      <c r="I25" s="17"/>
      <c r="J25"/>
      <c r="K25"/>
      <c r="O25" s="67">
        <f t="shared" si="3"/>
        <v>2028</v>
      </c>
      <c r="P25" s="93">
        <f t="shared" si="4"/>
        <v>72.75</v>
      </c>
      <c r="Q25" s="67">
        <f t="shared" si="5"/>
        <v>2048</v>
      </c>
      <c r="R25" s="94">
        <f t="shared" si="6"/>
        <v>35</v>
      </c>
      <c r="T25"/>
      <c r="U25"/>
      <c r="V25"/>
      <c r="W25"/>
      <c r="AB25"/>
      <c r="AC25"/>
      <c r="AD25"/>
      <c r="AE25"/>
      <c r="AF25"/>
      <c r="AG25"/>
      <c r="AH25"/>
      <c r="AI25"/>
      <c r="AJ25"/>
      <c r="AK25"/>
    </row>
    <row r="26" spans="1:37" ht="16.5" customHeight="1" outlineLevel="1" x14ac:dyDescent="0.2">
      <c r="A26" s="17" t="s">
        <v>45</v>
      </c>
      <c r="B26" s="17"/>
      <c r="C26" s="82">
        <v>103000</v>
      </c>
      <c r="D26" s="79">
        <v>1</v>
      </c>
      <c r="E26" s="80">
        <v>30</v>
      </c>
      <c r="F26" s="202">
        <f t="shared" ref="F26:F32" si="7">C26/INDEX($F$13:$F$16,MATCH($G$10,$E$13:$E$16,0))</f>
        <v>2.0448679769704188</v>
      </c>
      <c r="G26"/>
      <c r="H26" s="17" t="s">
        <v>53</v>
      </c>
      <c r="I26" s="17"/>
      <c r="J26" s="204">
        <v>19</v>
      </c>
      <c r="O26" s="67">
        <f t="shared" si="3"/>
        <v>2029</v>
      </c>
      <c r="P26" s="93">
        <f t="shared" si="4"/>
        <v>72.75</v>
      </c>
      <c r="Q26" s="67">
        <f t="shared" si="5"/>
        <v>2049</v>
      </c>
      <c r="R26" s="94">
        <f t="shared" si="6"/>
        <v>35</v>
      </c>
      <c r="T26"/>
      <c r="U26"/>
      <c r="V26"/>
      <c r="W26"/>
      <c r="AB26"/>
      <c r="AC26"/>
      <c r="AD26"/>
      <c r="AE26"/>
      <c r="AF26"/>
      <c r="AG26"/>
      <c r="AH26"/>
      <c r="AI26"/>
      <c r="AJ26"/>
      <c r="AK26"/>
    </row>
    <row r="27" spans="1:37" ht="16.5" customHeight="1" outlineLevel="1" x14ac:dyDescent="0.2">
      <c r="A27" s="17" t="s">
        <v>46</v>
      </c>
      <c r="B27" s="17"/>
      <c r="C27" s="82">
        <v>155000</v>
      </c>
      <c r="D27" s="79">
        <v>1</v>
      </c>
      <c r="E27" s="80">
        <v>30</v>
      </c>
      <c r="F27" s="202">
        <f t="shared" si="7"/>
        <v>3.0772285090331541</v>
      </c>
      <c r="G27"/>
      <c r="H27" s="75" t="s">
        <v>116</v>
      </c>
      <c r="I27" s="17"/>
      <c r="J27" s="83">
        <v>0.85</v>
      </c>
      <c r="O27" s="67">
        <f t="shared" si="3"/>
        <v>2030</v>
      </c>
      <c r="P27" s="93">
        <f t="shared" si="4"/>
        <v>72.75</v>
      </c>
      <c r="Q27" s="67" t="str">
        <f t="shared" si="5"/>
        <v/>
      </c>
      <c r="R27" s="94" t="str">
        <f t="shared" si="6"/>
        <v/>
      </c>
      <c r="T27"/>
      <c r="U27"/>
      <c r="V27"/>
      <c r="W27"/>
      <c r="AB27"/>
      <c r="AC27"/>
      <c r="AD27"/>
      <c r="AE27"/>
      <c r="AF27"/>
      <c r="AG27"/>
      <c r="AH27"/>
      <c r="AI27"/>
      <c r="AJ27"/>
      <c r="AK27"/>
    </row>
    <row r="28" spans="1:37" ht="16.5" customHeight="1" outlineLevel="1" x14ac:dyDescent="0.2">
      <c r="A28" s="17" t="s">
        <v>48</v>
      </c>
      <c r="C28" s="82">
        <v>115000</v>
      </c>
      <c r="D28" s="79">
        <v>1</v>
      </c>
      <c r="E28" s="80">
        <v>20</v>
      </c>
      <c r="F28" s="202">
        <f t="shared" si="7"/>
        <v>2.2831050228310499</v>
      </c>
      <c r="G28"/>
      <c r="H28" s="17" t="s">
        <v>117</v>
      </c>
      <c r="I28" s="17"/>
      <c r="J28" s="177">
        <v>2.4E-2</v>
      </c>
      <c r="O28" s="67">
        <f t="shared" si="3"/>
        <v>2031</v>
      </c>
      <c r="P28" s="93">
        <f t="shared" si="4"/>
        <v>72.75</v>
      </c>
      <c r="Q28" s="67" t="str">
        <f t="shared" si="5"/>
        <v/>
      </c>
      <c r="R28" s="94" t="str">
        <f t="shared" si="6"/>
        <v/>
      </c>
      <c r="T28"/>
      <c r="U28"/>
      <c r="V28"/>
      <c r="W28"/>
      <c r="AB28"/>
      <c r="AC28"/>
      <c r="AD28"/>
      <c r="AE28"/>
      <c r="AF28"/>
      <c r="AG28"/>
      <c r="AH28"/>
      <c r="AI28"/>
      <c r="AJ28"/>
      <c r="AK28"/>
    </row>
    <row r="29" spans="1:37" ht="16.5" customHeight="1" outlineLevel="1" x14ac:dyDescent="0.2">
      <c r="A29" s="17" t="s">
        <v>49</v>
      </c>
      <c r="B29" s="17"/>
      <c r="C29" s="82">
        <v>165000</v>
      </c>
      <c r="D29" s="79">
        <v>21</v>
      </c>
      <c r="E29" s="80">
        <v>30</v>
      </c>
      <c r="F29" s="202">
        <f t="shared" si="7"/>
        <v>3.2757593805836804</v>
      </c>
      <c r="G29"/>
      <c r="H29" s="17" t="s">
        <v>54</v>
      </c>
      <c r="I29" s="17"/>
      <c r="J29" s="177">
        <v>1.7500000000000002E-2</v>
      </c>
      <c r="O29" s="67">
        <f t="shared" si="3"/>
        <v>2032</v>
      </c>
      <c r="P29" s="93">
        <f t="shared" si="4"/>
        <v>72.75</v>
      </c>
      <c r="Q29" s="67" t="str">
        <f t="shared" si="5"/>
        <v/>
      </c>
      <c r="R29" s="94" t="str">
        <f t="shared" si="6"/>
        <v/>
      </c>
      <c r="T29"/>
      <c r="U29"/>
      <c r="V29"/>
      <c r="W29"/>
      <c r="AB29"/>
      <c r="AC29"/>
      <c r="AD29"/>
      <c r="AE29"/>
      <c r="AF29"/>
      <c r="AG29"/>
      <c r="AH29"/>
      <c r="AI29"/>
      <c r="AJ29"/>
      <c r="AK29"/>
    </row>
    <row r="30" spans="1:37" ht="16.5" customHeight="1" outlineLevel="1" x14ac:dyDescent="0.2">
      <c r="A30" s="17" t="s">
        <v>47</v>
      </c>
      <c r="B30" s="17"/>
      <c r="C30" s="82">
        <v>28000</v>
      </c>
      <c r="D30" s="79">
        <v>1</v>
      </c>
      <c r="E30" s="80">
        <v>30</v>
      </c>
      <c r="F30" s="202">
        <f t="shared" si="7"/>
        <v>0.55588644034147305</v>
      </c>
      <c r="G30"/>
      <c r="H30" s="17" t="s">
        <v>55</v>
      </c>
      <c r="I30" s="17"/>
      <c r="J30" s="177">
        <v>5.0000000000000001E-3</v>
      </c>
      <c r="O30" s="67">
        <f t="shared" si="3"/>
        <v>2033</v>
      </c>
      <c r="P30" s="93">
        <f t="shared" si="4"/>
        <v>72.75</v>
      </c>
      <c r="Q30" s="67" t="str">
        <f t="shared" si="5"/>
        <v/>
      </c>
      <c r="R30" s="94" t="str">
        <f t="shared" si="6"/>
        <v/>
      </c>
      <c r="T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ht="16.5" customHeight="1" outlineLevel="1" x14ac:dyDescent="0.2">
      <c r="A31" s="17" t="s">
        <v>51</v>
      </c>
      <c r="B31" s="17"/>
      <c r="C31" s="82">
        <v>30000</v>
      </c>
      <c r="D31" s="79">
        <v>1</v>
      </c>
      <c r="E31" s="80">
        <v>15</v>
      </c>
      <c r="F31" s="202">
        <f t="shared" si="7"/>
        <v>0.5955926146515782</v>
      </c>
      <c r="G31"/>
      <c r="H31" s="17" t="s">
        <v>56</v>
      </c>
      <c r="I31" s="17"/>
      <c r="J31" s="177">
        <v>4.65E-2</v>
      </c>
      <c r="O31" s="67">
        <f t="shared" si="3"/>
        <v>2034</v>
      </c>
      <c r="P31" s="93">
        <f t="shared" si="4"/>
        <v>72.75</v>
      </c>
      <c r="Q31" s="67" t="str">
        <f t="shared" si="5"/>
        <v/>
      </c>
      <c r="R31" s="94" t="str">
        <f t="shared" si="6"/>
        <v/>
      </c>
      <c r="T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ht="16.5" customHeight="1" outlineLevel="1" x14ac:dyDescent="0.2">
      <c r="A32" s="17" t="s">
        <v>37</v>
      </c>
      <c r="B32" s="17"/>
      <c r="C32" s="78">
        <v>0.05</v>
      </c>
      <c r="D32" s="79">
        <v>1</v>
      </c>
      <c r="E32" s="80">
        <v>30</v>
      </c>
      <c r="F32" s="202">
        <f t="shared" si="7"/>
        <v>9.9265435775263045E-7</v>
      </c>
      <c r="G32"/>
      <c r="H32" s="17" t="s">
        <v>118</v>
      </c>
      <c r="I32" s="17"/>
      <c r="J32" s="84">
        <v>1.35</v>
      </c>
      <c r="O32" s="67">
        <f t="shared" si="3"/>
        <v>2035</v>
      </c>
      <c r="P32" s="93">
        <f t="shared" si="4"/>
        <v>72.75</v>
      </c>
      <c r="Q32" s="67" t="str">
        <f t="shared" si="5"/>
        <v/>
      </c>
      <c r="R32" s="94" t="str">
        <f t="shared" si="6"/>
        <v/>
      </c>
      <c r="T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ht="16.5" customHeight="1" outlineLevel="1" x14ac:dyDescent="0.2">
      <c r="C33" s="81"/>
      <c r="F33" s="183">
        <f>SUM(F24:F32)</f>
        <v>18.800874528489178</v>
      </c>
      <c r="G33"/>
      <c r="H33" s="17" t="s">
        <v>137</v>
      </c>
      <c r="I33" s="17"/>
      <c r="J33" s="85">
        <v>1</v>
      </c>
      <c r="O33" s="67">
        <f t="shared" si="3"/>
        <v>2036</v>
      </c>
      <c r="P33" s="93">
        <f t="shared" si="4"/>
        <v>72.75</v>
      </c>
      <c r="Q33" s="67" t="str">
        <f t="shared" si="5"/>
        <v/>
      </c>
      <c r="R33" s="94" t="str">
        <f t="shared" si="6"/>
        <v/>
      </c>
      <c r="T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ht="16.5" customHeight="1" outlineLevel="1" x14ac:dyDescent="0.2">
      <c r="O34" s="67">
        <f t="shared" si="3"/>
        <v>2037</v>
      </c>
      <c r="P34" s="93">
        <f t="shared" si="4"/>
        <v>72.75</v>
      </c>
      <c r="Q34" s="67" t="str">
        <f t="shared" si="5"/>
        <v/>
      </c>
      <c r="R34" s="94" t="str">
        <f t="shared" si="6"/>
        <v/>
      </c>
      <c r="T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ht="16.5" customHeight="1" outlineLevel="1" x14ac:dyDescent="0.2">
      <c r="A35" s="9" t="s">
        <v>79</v>
      </c>
      <c r="C35" s="203">
        <f>C31*E31</f>
        <v>450000</v>
      </c>
      <c r="D35" s="79">
        <v>15</v>
      </c>
      <c r="E35" s="80">
        <v>15</v>
      </c>
      <c r="H35" s="17" t="s">
        <v>122</v>
      </c>
      <c r="I35"/>
      <c r="J35" s="184">
        <v>6</v>
      </c>
      <c r="O35" s="67">
        <f t="shared" si="3"/>
        <v>2038</v>
      </c>
      <c r="P35" s="93">
        <f t="shared" si="4"/>
        <v>72.75</v>
      </c>
      <c r="Q35" s="67" t="str">
        <f t="shared" si="5"/>
        <v/>
      </c>
      <c r="R35" s="94" t="str">
        <f t="shared" si="6"/>
        <v/>
      </c>
      <c r="T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 ht="16.5" customHeight="1" outlineLevel="1" x14ac:dyDescent="0.2">
      <c r="O36" s="67">
        <f t="shared" si="3"/>
        <v>2039</v>
      </c>
      <c r="P36" s="93">
        <f t="shared" si="4"/>
        <v>72.75</v>
      </c>
      <c r="Q36" s="67" t="str">
        <f t="shared" si="5"/>
        <v/>
      </c>
      <c r="R36" s="94" t="str">
        <f t="shared" si="6"/>
        <v/>
      </c>
      <c r="T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7" ht="16.5" customHeight="1" outlineLevel="1" x14ac:dyDescent="0.2">
      <c r="A37" s="9" t="s">
        <v>135</v>
      </c>
      <c r="B37" s="12"/>
      <c r="C37" s="12"/>
      <c r="D37" s="12"/>
      <c r="E37" s="12"/>
      <c r="F37" s="12"/>
      <c r="G37" s="12"/>
      <c r="H37" s="12"/>
      <c r="O37" s="67" t="str">
        <f t="shared" si="3"/>
        <v/>
      </c>
      <c r="P37" s="93" t="str">
        <f t="shared" si="4"/>
        <v/>
      </c>
      <c r="Q37" s="67" t="str">
        <f t="shared" si="5"/>
        <v/>
      </c>
      <c r="R37" s="94" t="str">
        <f t="shared" si="6"/>
        <v/>
      </c>
      <c r="T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ht="16.5" customHeight="1" outlineLevel="1" x14ac:dyDescent="0.2">
      <c r="A38" s="181"/>
      <c r="O38" s="67" t="str">
        <f t="shared" si="3"/>
        <v/>
      </c>
      <c r="P38" s="93" t="str">
        <f t="shared" si="4"/>
        <v/>
      </c>
      <c r="Q38" s="67" t="str">
        <f t="shared" si="5"/>
        <v/>
      </c>
      <c r="R38" s="94" t="str">
        <f t="shared" si="6"/>
        <v/>
      </c>
      <c r="T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ht="16.5" customHeight="1" outlineLevel="1" x14ac:dyDescent="0.2">
      <c r="A39"/>
      <c r="C39" s="130" t="s">
        <v>80</v>
      </c>
      <c r="D39" s="131" t="s">
        <v>81</v>
      </c>
      <c r="O39" s="67" t="str">
        <f t="shared" si="3"/>
        <v/>
      </c>
      <c r="P39" s="93" t="str">
        <f t="shared" si="4"/>
        <v/>
      </c>
      <c r="Q39" s="67" t="str">
        <f t="shared" si="5"/>
        <v/>
      </c>
      <c r="R39" s="94" t="str">
        <f t="shared" si="6"/>
        <v/>
      </c>
      <c r="T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ht="16.5" customHeight="1" outlineLevel="1" x14ac:dyDescent="0.2">
      <c r="A40" s="129" t="s">
        <v>123</v>
      </c>
      <c r="C40" s="178">
        <v>2.1677670139799671E-3</v>
      </c>
      <c r="D40" s="178">
        <v>0.05</v>
      </c>
      <c r="F40" s="9" t="s">
        <v>134</v>
      </c>
      <c r="H40" s="142">
        <v>0.25</v>
      </c>
      <c r="O40" s="67" t="str">
        <f t="shared" si="3"/>
        <v/>
      </c>
      <c r="P40" s="93" t="str">
        <f t="shared" si="4"/>
        <v/>
      </c>
      <c r="Q40" s="67"/>
      <c r="R40" s="94" t="str">
        <f t="shared" si="6"/>
        <v/>
      </c>
      <c r="T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ht="16.5" customHeight="1" outlineLevel="1" x14ac:dyDescent="0.2">
      <c r="A41" s="129" t="s">
        <v>124</v>
      </c>
      <c r="C41" s="179">
        <v>0</v>
      </c>
      <c r="D41" s="179">
        <v>0.2</v>
      </c>
      <c r="O41" s="68" t="str">
        <f t="shared" si="3"/>
        <v/>
      </c>
      <c r="P41" s="205" t="str">
        <f t="shared" si="4"/>
        <v/>
      </c>
      <c r="Q41" s="68"/>
      <c r="R41" s="205" t="str">
        <f t="shared" si="6"/>
        <v/>
      </c>
      <c r="T41"/>
      <c r="Y41"/>
      <c r="Z41"/>
      <c r="AA41"/>
      <c r="AB41"/>
      <c r="AC41"/>
      <c r="AD41"/>
      <c r="AF41"/>
      <c r="AG41"/>
      <c r="AH41"/>
      <c r="AI41"/>
      <c r="AJ41"/>
      <c r="AK41"/>
    </row>
    <row r="42" spans="1:37" ht="16.5" customHeight="1" outlineLevel="1" x14ac:dyDescent="0.2">
      <c r="A42" s="129" t="s">
        <v>125</v>
      </c>
      <c r="C42" s="179">
        <v>3.2074278137527175E-2</v>
      </c>
      <c r="D42" s="179">
        <v>0.05</v>
      </c>
      <c r="O42" s="128"/>
      <c r="P42" s="66"/>
      <c r="Q42" s="128"/>
      <c r="R42" s="66"/>
      <c r="T42"/>
      <c r="Y42"/>
      <c r="Z42"/>
      <c r="AA42"/>
      <c r="AB42"/>
      <c r="AC42"/>
      <c r="AD42"/>
      <c r="AF42"/>
      <c r="AG42"/>
      <c r="AH42"/>
      <c r="AI42"/>
      <c r="AJ42"/>
      <c r="AK42"/>
    </row>
    <row r="43" spans="1:37" ht="16.5" customHeight="1" outlineLevel="1" x14ac:dyDescent="0.2">
      <c r="A43" s="129" t="s">
        <v>126</v>
      </c>
      <c r="C43" s="179">
        <v>5.7539534536502858E-3</v>
      </c>
      <c r="D43" s="179">
        <v>0.1</v>
      </c>
      <c r="O43" s="128"/>
      <c r="P43" s="66"/>
      <c r="Q43" s="128"/>
      <c r="R43" s="66"/>
      <c r="T43"/>
      <c r="Y43"/>
      <c r="Z43"/>
      <c r="AA43"/>
      <c r="AB43"/>
      <c r="AC43"/>
      <c r="AD43"/>
      <c r="AF43"/>
      <c r="AG43"/>
      <c r="AH43"/>
      <c r="AI43"/>
      <c r="AJ43"/>
      <c r="AK43"/>
    </row>
    <row r="44" spans="1:37" ht="16.5" customHeight="1" outlineLevel="1" x14ac:dyDescent="0.2">
      <c r="A44" t="s">
        <v>127</v>
      </c>
      <c r="C44" s="180">
        <v>0.92793487430529409</v>
      </c>
      <c r="D44" s="180">
        <v>0.25</v>
      </c>
      <c r="O44" s="128"/>
      <c r="P44" s="66"/>
      <c r="Q44" s="128"/>
      <c r="R44" s="66"/>
      <c r="T44"/>
      <c r="Y44"/>
      <c r="Z44"/>
      <c r="AA44"/>
      <c r="AB44"/>
      <c r="AC44"/>
      <c r="AD44"/>
      <c r="AF44"/>
      <c r="AG44"/>
      <c r="AH44"/>
      <c r="AI44"/>
      <c r="AJ44"/>
      <c r="AK44"/>
    </row>
    <row r="45" spans="1:37" ht="13.5" customHeight="1" x14ac:dyDescent="0.15"/>
    <row r="46" spans="1:37" s="38" customFormat="1" ht="18.75" customHeight="1" x14ac:dyDescent="0.2">
      <c r="A46" s="4" t="s">
        <v>133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7" s="17" customFormat="1" outlineLevel="1" x14ac:dyDescent="0.15">
      <c r="A47" s="16"/>
      <c r="D47" s="18"/>
      <c r="E47" s="18"/>
    </row>
    <row r="48" spans="1:37" s="17" customFormat="1" outlineLevel="1" x14ac:dyDescent="0.15">
      <c r="A48" s="17" t="s">
        <v>22</v>
      </c>
      <c r="D48" s="18"/>
      <c r="E48" s="18"/>
      <c r="G48" s="17">
        <f>YEAR(G2)</f>
        <v>2020</v>
      </c>
      <c r="H48" s="17">
        <f t="shared" ref="H48:AJ48" si="8">YEAR(H2)</f>
        <v>2021</v>
      </c>
      <c r="I48" s="17">
        <f t="shared" si="8"/>
        <v>2022</v>
      </c>
      <c r="J48" s="17">
        <f t="shared" si="8"/>
        <v>2023</v>
      </c>
      <c r="K48" s="17">
        <f t="shared" si="8"/>
        <v>2024</v>
      </c>
      <c r="L48" s="17">
        <f t="shared" si="8"/>
        <v>2025</v>
      </c>
      <c r="M48" s="17">
        <f t="shared" si="8"/>
        <v>2026</v>
      </c>
      <c r="N48" s="17">
        <f t="shared" si="8"/>
        <v>2027</v>
      </c>
      <c r="O48" s="17">
        <f t="shared" si="8"/>
        <v>2028</v>
      </c>
      <c r="P48" s="17">
        <f t="shared" si="8"/>
        <v>2029</v>
      </c>
      <c r="Q48" s="17">
        <f t="shared" si="8"/>
        <v>2030</v>
      </c>
      <c r="R48" s="17">
        <f t="shared" si="8"/>
        <v>2031</v>
      </c>
      <c r="S48" s="17">
        <f t="shared" si="8"/>
        <v>2032</v>
      </c>
      <c r="T48" s="17">
        <f t="shared" si="8"/>
        <v>2033</v>
      </c>
      <c r="U48" s="17">
        <f t="shared" si="8"/>
        <v>2034</v>
      </c>
      <c r="V48" s="17">
        <f t="shared" si="8"/>
        <v>2035</v>
      </c>
      <c r="W48" s="17">
        <f t="shared" si="8"/>
        <v>2036</v>
      </c>
      <c r="X48" s="17">
        <f t="shared" si="8"/>
        <v>2037</v>
      </c>
      <c r="Y48" s="17">
        <f t="shared" si="8"/>
        <v>2038</v>
      </c>
      <c r="Z48" s="17">
        <f t="shared" si="8"/>
        <v>2039</v>
      </c>
      <c r="AA48" s="17">
        <f t="shared" si="8"/>
        <v>2040</v>
      </c>
      <c r="AB48" s="17">
        <f t="shared" si="8"/>
        <v>2041</v>
      </c>
      <c r="AC48" s="17">
        <f t="shared" si="8"/>
        <v>2042</v>
      </c>
      <c r="AD48" s="17">
        <f t="shared" si="8"/>
        <v>2043</v>
      </c>
      <c r="AE48" s="17">
        <f t="shared" si="8"/>
        <v>2044</v>
      </c>
      <c r="AF48" s="17">
        <f t="shared" si="8"/>
        <v>2045</v>
      </c>
      <c r="AG48" s="17">
        <f t="shared" si="8"/>
        <v>2046</v>
      </c>
      <c r="AH48" s="17">
        <f t="shared" si="8"/>
        <v>2047</v>
      </c>
      <c r="AI48" s="17">
        <f t="shared" si="8"/>
        <v>2048</v>
      </c>
      <c r="AJ48" s="17">
        <f t="shared" si="8"/>
        <v>2049</v>
      </c>
    </row>
    <row r="49" spans="1:36" s="17" customFormat="1" outlineLevel="1" x14ac:dyDescent="0.15">
      <c r="A49" s="17" t="s">
        <v>61</v>
      </c>
      <c r="D49" s="18"/>
      <c r="E49" s="18"/>
      <c r="G49" s="17">
        <f>IF(G48=YEAR($C$12),1,F49+1)</f>
        <v>1</v>
      </c>
      <c r="H49" s="17">
        <f t="shared" ref="H49:AJ49" si="9">IF(H48=YEAR($C$12),1,G49+1)</f>
        <v>2</v>
      </c>
      <c r="I49" s="17">
        <f t="shared" si="9"/>
        <v>3</v>
      </c>
      <c r="J49" s="17">
        <f t="shared" si="9"/>
        <v>4</v>
      </c>
      <c r="K49" s="17">
        <f t="shared" si="9"/>
        <v>5</v>
      </c>
      <c r="L49" s="17">
        <f t="shared" si="9"/>
        <v>6</v>
      </c>
      <c r="M49" s="17">
        <f t="shared" si="9"/>
        <v>7</v>
      </c>
      <c r="N49" s="17">
        <f t="shared" si="9"/>
        <v>8</v>
      </c>
      <c r="O49" s="17">
        <f t="shared" si="9"/>
        <v>9</v>
      </c>
      <c r="P49" s="17">
        <f t="shared" si="9"/>
        <v>10</v>
      </c>
      <c r="Q49" s="17">
        <f t="shared" si="9"/>
        <v>11</v>
      </c>
      <c r="R49" s="17">
        <f t="shared" si="9"/>
        <v>12</v>
      </c>
      <c r="S49" s="17">
        <f t="shared" si="9"/>
        <v>13</v>
      </c>
      <c r="T49" s="17">
        <f t="shared" si="9"/>
        <v>14</v>
      </c>
      <c r="U49" s="17">
        <f t="shared" si="9"/>
        <v>15</v>
      </c>
      <c r="V49" s="17">
        <f t="shared" si="9"/>
        <v>16</v>
      </c>
      <c r="W49" s="17">
        <f t="shared" si="9"/>
        <v>17</v>
      </c>
      <c r="X49" s="17">
        <f t="shared" si="9"/>
        <v>18</v>
      </c>
      <c r="Y49" s="17">
        <f t="shared" si="9"/>
        <v>19</v>
      </c>
      <c r="Z49" s="17">
        <f t="shared" si="9"/>
        <v>20</v>
      </c>
      <c r="AA49" s="17">
        <f t="shared" si="9"/>
        <v>21</v>
      </c>
      <c r="AB49" s="17">
        <f t="shared" si="9"/>
        <v>22</v>
      </c>
      <c r="AC49" s="17">
        <f t="shared" si="9"/>
        <v>23</v>
      </c>
      <c r="AD49" s="17">
        <f t="shared" si="9"/>
        <v>24</v>
      </c>
      <c r="AE49" s="17">
        <f t="shared" si="9"/>
        <v>25</v>
      </c>
      <c r="AF49" s="17">
        <f t="shared" si="9"/>
        <v>26</v>
      </c>
      <c r="AG49" s="17">
        <f t="shared" si="9"/>
        <v>27</v>
      </c>
      <c r="AH49" s="17">
        <f t="shared" si="9"/>
        <v>28</v>
      </c>
      <c r="AI49" s="17">
        <f t="shared" si="9"/>
        <v>29</v>
      </c>
      <c r="AJ49" s="17">
        <f t="shared" si="9"/>
        <v>30</v>
      </c>
    </row>
    <row r="50" spans="1:36" s="17" customFormat="1" outlineLevel="1" x14ac:dyDescent="0.15">
      <c r="A50" s="17" t="s">
        <v>66</v>
      </c>
      <c r="D50" s="18"/>
      <c r="E50" s="18"/>
      <c r="G50" s="17">
        <f>G49-1</f>
        <v>0</v>
      </c>
      <c r="H50" s="17">
        <f t="shared" ref="H50:AJ50" si="10">H49-1</f>
        <v>1</v>
      </c>
      <c r="I50" s="17">
        <f t="shared" si="10"/>
        <v>2</v>
      </c>
      <c r="J50" s="17">
        <f t="shared" si="10"/>
        <v>3</v>
      </c>
      <c r="K50" s="17">
        <f t="shared" si="10"/>
        <v>4</v>
      </c>
      <c r="L50" s="17">
        <f t="shared" si="10"/>
        <v>5</v>
      </c>
      <c r="M50" s="17">
        <f t="shared" si="10"/>
        <v>6</v>
      </c>
      <c r="N50" s="17">
        <f t="shared" si="10"/>
        <v>7</v>
      </c>
      <c r="O50" s="17">
        <f t="shared" si="10"/>
        <v>8</v>
      </c>
      <c r="P50" s="17">
        <f t="shared" si="10"/>
        <v>9</v>
      </c>
      <c r="Q50" s="17">
        <f t="shared" si="10"/>
        <v>10</v>
      </c>
      <c r="R50" s="17">
        <f t="shared" si="10"/>
        <v>11</v>
      </c>
      <c r="S50" s="17">
        <f t="shared" si="10"/>
        <v>12</v>
      </c>
      <c r="T50" s="17">
        <f t="shared" si="10"/>
        <v>13</v>
      </c>
      <c r="U50" s="17">
        <f t="shared" si="10"/>
        <v>14</v>
      </c>
      <c r="V50" s="17">
        <f t="shared" si="10"/>
        <v>15</v>
      </c>
      <c r="W50" s="17">
        <f t="shared" si="10"/>
        <v>16</v>
      </c>
      <c r="X50" s="17">
        <f t="shared" si="10"/>
        <v>17</v>
      </c>
      <c r="Y50" s="17">
        <f t="shared" si="10"/>
        <v>18</v>
      </c>
      <c r="Z50" s="17">
        <f t="shared" si="10"/>
        <v>19</v>
      </c>
      <c r="AA50" s="17">
        <f t="shared" si="10"/>
        <v>20</v>
      </c>
      <c r="AB50" s="17">
        <f t="shared" si="10"/>
        <v>21</v>
      </c>
      <c r="AC50" s="17">
        <f t="shared" si="10"/>
        <v>22</v>
      </c>
      <c r="AD50" s="17">
        <f t="shared" si="10"/>
        <v>23</v>
      </c>
      <c r="AE50" s="17">
        <f t="shared" si="10"/>
        <v>24</v>
      </c>
      <c r="AF50" s="17">
        <f t="shared" si="10"/>
        <v>25</v>
      </c>
      <c r="AG50" s="17">
        <f t="shared" si="10"/>
        <v>26</v>
      </c>
      <c r="AH50" s="17">
        <f t="shared" si="10"/>
        <v>27</v>
      </c>
      <c r="AI50" s="17">
        <f t="shared" si="10"/>
        <v>28</v>
      </c>
      <c r="AJ50" s="17">
        <f t="shared" si="10"/>
        <v>29</v>
      </c>
    </row>
    <row r="51" spans="1:36" s="17" customFormat="1" outlineLevel="1" x14ac:dyDescent="0.15">
      <c r="A51" s="16"/>
      <c r="D51" s="18"/>
      <c r="E51" s="18"/>
    </row>
    <row r="52" spans="1:36" s="17" customFormat="1" ht="15" outlineLevel="1" x14ac:dyDescent="0.2">
      <c r="A52" s="89" t="s">
        <v>58</v>
      </c>
      <c r="B52"/>
      <c r="C52"/>
      <c r="D52"/>
      <c r="E52"/>
      <c r="F52"/>
      <c r="G52"/>
      <c r="H52"/>
      <c r="I52" s="176"/>
      <c r="J52" s="176"/>
      <c r="K52" s="176"/>
      <c r="L52" s="176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s="17" customFormat="1" ht="15" outlineLevel="1" x14ac:dyDescent="0.2">
      <c r="A53" s="90" t="s">
        <v>62</v>
      </c>
      <c r="B53"/>
      <c r="C53"/>
      <c r="D53"/>
      <c r="E53"/>
      <c r="F53"/>
      <c r="G53" s="96">
        <f>INDEX($F$13:$F$16,MATCH($G$10,$E$13:$E$16,0))*(1-$C$18*G50)</f>
        <v>50370.000000000007</v>
      </c>
      <c r="H53" s="96">
        <f t="shared" ref="H53:AJ53" si="11">INDEX($F$13:$F$16,MATCH($G$10,$E$13:$E$16,0))*(1-$C$18*H50)</f>
        <v>50118.150000000009</v>
      </c>
      <c r="I53" s="96">
        <f t="shared" si="11"/>
        <v>49866.30000000001</v>
      </c>
      <c r="J53" s="96">
        <f t="shared" si="11"/>
        <v>49614.450000000004</v>
      </c>
      <c r="K53" s="96">
        <f t="shared" si="11"/>
        <v>49362.600000000006</v>
      </c>
      <c r="L53" s="96">
        <f t="shared" si="11"/>
        <v>49110.750000000007</v>
      </c>
      <c r="M53" s="96">
        <f t="shared" si="11"/>
        <v>48858.900000000009</v>
      </c>
      <c r="N53" s="96">
        <f t="shared" si="11"/>
        <v>48607.05</v>
      </c>
      <c r="O53" s="96">
        <f t="shared" si="11"/>
        <v>48355.200000000004</v>
      </c>
      <c r="P53" s="96">
        <f t="shared" si="11"/>
        <v>48103.350000000006</v>
      </c>
      <c r="Q53" s="96">
        <f t="shared" si="11"/>
        <v>47851.500000000007</v>
      </c>
      <c r="R53" s="96">
        <f t="shared" si="11"/>
        <v>47599.65</v>
      </c>
      <c r="S53" s="96">
        <f t="shared" si="11"/>
        <v>47347.8</v>
      </c>
      <c r="T53" s="96">
        <f t="shared" si="11"/>
        <v>47095.950000000012</v>
      </c>
      <c r="U53" s="96">
        <f t="shared" si="11"/>
        <v>46844.100000000006</v>
      </c>
      <c r="V53" s="96">
        <f t="shared" si="11"/>
        <v>46592.250000000007</v>
      </c>
      <c r="W53" s="96">
        <f t="shared" si="11"/>
        <v>46340.400000000009</v>
      </c>
      <c r="X53" s="96">
        <f t="shared" si="11"/>
        <v>46088.55000000001</v>
      </c>
      <c r="Y53" s="96">
        <f t="shared" si="11"/>
        <v>45836.700000000012</v>
      </c>
      <c r="Z53" s="96">
        <f t="shared" si="11"/>
        <v>45584.850000000006</v>
      </c>
      <c r="AA53" s="96">
        <f t="shared" si="11"/>
        <v>45333.000000000007</v>
      </c>
      <c r="AB53" s="96">
        <f t="shared" si="11"/>
        <v>45081.150000000009</v>
      </c>
      <c r="AC53" s="96">
        <f t="shared" si="11"/>
        <v>44829.30000000001</v>
      </c>
      <c r="AD53" s="96">
        <f t="shared" si="11"/>
        <v>44577.450000000004</v>
      </c>
      <c r="AE53" s="96">
        <f t="shared" si="11"/>
        <v>44325.600000000006</v>
      </c>
      <c r="AF53" s="96">
        <f t="shared" si="11"/>
        <v>44073.750000000007</v>
      </c>
      <c r="AG53" s="96">
        <f t="shared" si="11"/>
        <v>43821.900000000009</v>
      </c>
      <c r="AH53" s="96">
        <f t="shared" si="11"/>
        <v>43570.05</v>
      </c>
      <c r="AI53" s="96">
        <f t="shared" si="11"/>
        <v>43318.200000000004</v>
      </c>
      <c r="AJ53" s="96">
        <f t="shared" si="11"/>
        <v>43066.350000000006</v>
      </c>
    </row>
    <row r="54" spans="1:36" s="17" customFormat="1" ht="15" outlineLevel="1" x14ac:dyDescent="0.2">
      <c r="A54" s="175" t="s">
        <v>114</v>
      </c>
      <c r="B54"/>
      <c r="C54"/>
      <c r="D54"/>
      <c r="E54"/>
      <c r="F54"/>
      <c r="G54" s="206">
        <f>G53/$G$53</f>
        <v>1</v>
      </c>
      <c r="H54" s="207">
        <f>H53/$G$53</f>
        <v>0.995</v>
      </c>
      <c r="I54" s="207">
        <f t="shared" ref="I54:AJ54" si="12">I53/$G$53</f>
        <v>0.9900000000000001</v>
      </c>
      <c r="J54" s="207">
        <f t="shared" si="12"/>
        <v>0.98499999999999999</v>
      </c>
      <c r="K54" s="207">
        <f t="shared" si="12"/>
        <v>0.98</v>
      </c>
      <c r="L54" s="207">
        <f t="shared" si="12"/>
        <v>0.97499999999999998</v>
      </c>
      <c r="M54" s="207">
        <f t="shared" si="12"/>
        <v>0.97000000000000008</v>
      </c>
      <c r="N54" s="207">
        <f t="shared" si="12"/>
        <v>0.96499999999999997</v>
      </c>
      <c r="O54" s="207">
        <f t="shared" si="12"/>
        <v>0.96</v>
      </c>
      <c r="P54" s="207">
        <f t="shared" si="12"/>
        <v>0.95499999999999996</v>
      </c>
      <c r="Q54" s="207">
        <f t="shared" si="12"/>
        <v>0.95</v>
      </c>
      <c r="R54" s="207">
        <f t="shared" si="12"/>
        <v>0.94499999999999984</v>
      </c>
      <c r="S54" s="207">
        <f t="shared" si="12"/>
        <v>0.94</v>
      </c>
      <c r="T54" s="207">
        <f t="shared" si="12"/>
        <v>0.93500000000000005</v>
      </c>
      <c r="U54" s="207">
        <f t="shared" si="12"/>
        <v>0.92999999999999994</v>
      </c>
      <c r="V54" s="207">
        <f t="shared" si="12"/>
        <v>0.92500000000000004</v>
      </c>
      <c r="W54" s="207">
        <f t="shared" si="12"/>
        <v>0.92</v>
      </c>
      <c r="X54" s="207">
        <f t="shared" si="12"/>
        <v>0.91500000000000004</v>
      </c>
      <c r="Y54" s="207">
        <f t="shared" si="12"/>
        <v>0.91000000000000014</v>
      </c>
      <c r="Z54" s="207">
        <f t="shared" si="12"/>
        <v>0.90500000000000003</v>
      </c>
      <c r="AA54" s="207">
        <f t="shared" si="12"/>
        <v>0.9</v>
      </c>
      <c r="AB54" s="207">
        <f t="shared" si="12"/>
        <v>0.89500000000000002</v>
      </c>
      <c r="AC54" s="207">
        <f t="shared" si="12"/>
        <v>0.89000000000000012</v>
      </c>
      <c r="AD54" s="207">
        <f t="shared" si="12"/>
        <v>0.88500000000000001</v>
      </c>
      <c r="AE54" s="207">
        <f t="shared" si="12"/>
        <v>0.88</v>
      </c>
      <c r="AF54" s="207">
        <f t="shared" si="12"/>
        <v>0.875</v>
      </c>
      <c r="AG54" s="207">
        <f t="shared" si="12"/>
        <v>0.87</v>
      </c>
      <c r="AH54" s="207">
        <f t="shared" si="12"/>
        <v>0.86499999999999988</v>
      </c>
      <c r="AI54" s="207">
        <f t="shared" si="12"/>
        <v>0.86</v>
      </c>
      <c r="AJ54" s="207">
        <f t="shared" si="12"/>
        <v>0.85499999999999998</v>
      </c>
    </row>
    <row r="55" spans="1:36" s="17" customFormat="1" ht="15" outlineLevel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s="17" customFormat="1" ht="15" outlineLevel="1" x14ac:dyDescent="0.2">
      <c r="A56" s="90" t="s">
        <v>63</v>
      </c>
      <c r="B56"/>
      <c r="C56"/>
      <c r="D56"/>
      <c r="E56"/>
      <c r="F56"/>
      <c r="G56" s="95">
        <f>IFERROR(INDEX($P$17:$P$41,MATCH(G48,$O$17:$O$41,0)),0)</f>
        <v>72.75</v>
      </c>
      <c r="H56" s="95">
        <f t="shared" ref="H56:AJ56" si="13">IFERROR(INDEX($P$17:$P$41,MATCH(H48,$O$17:$O$41,0)),0)</f>
        <v>72.75</v>
      </c>
      <c r="I56" s="95">
        <f t="shared" si="13"/>
        <v>72.75</v>
      </c>
      <c r="J56" s="95">
        <f t="shared" si="13"/>
        <v>72.75</v>
      </c>
      <c r="K56" s="95">
        <f t="shared" si="13"/>
        <v>72.75</v>
      </c>
      <c r="L56" s="95">
        <f t="shared" si="13"/>
        <v>72.75</v>
      </c>
      <c r="M56" s="95">
        <f t="shared" si="13"/>
        <v>72.75</v>
      </c>
      <c r="N56" s="95">
        <f t="shared" si="13"/>
        <v>72.75</v>
      </c>
      <c r="O56" s="95">
        <f t="shared" si="13"/>
        <v>72.75</v>
      </c>
      <c r="P56" s="95">
        <f t="shared" si="13"/>
        <v>72.75</v>
      </c>
      <c r="Q56" s="95">
        <f t="shared" si="13"/>
        <v>72.75</v>
      </c>
      <c r="R56" s="95">
        <f t="shared" si="13"/>
        <v>72.75</v>
      </c>
      <c r="S56" s="95">
        <f t="shared" si="13"/>
        <v>72.75</v>
      </c>
      <c r="T56" s="95">
        <f t="shared" si="13"/>
        <v>72.75</v>
      </c>
      <c r="U56" s="95">
        <f t="shared" si="13"/>
        <v>72.75</v>
      </c>
      <c r="V56" s="95">
        <f t="shared" si="13"/>
        <v>72.75</v>
      </c>
      <c r="W56" s="95">
        <f t="shared" si="13"/>
        <v>72.75</v>
      </c>
      <c r="X56" s="95">
        <f t="shared" si="13"/>
        <v>72.75</v>
      </c>
      <c r="Y56" s="95">
        <f t="shared" si="13"/>
        <v>72.75</v>
      </c>
      <c r="Z56" s="95">
        <f t="shared" si="13"/>
        <v>72.75</v>
      </c>
      <c r="AA56" s="95">
        <f t="shared" si="13"/>
        <v>0</v>
      </c>
      <c r="AB56" s="95">
        <f t="shared" si="13"/>
        <v>0</v>
      </c>
      <c r="AC56" s="95">
        <f t="shared" si="13"/>
        <v>0</v>
      </c>
      <c r="AD56" s="95">
        <f t="shared" si="13"/>
        <v>0</v>
      </c>
      <c r="AE56" s="95">
        <f t="shared" si="13"/>
        <v>0</v>
      </c>
      <c r="AF56" s="95">
        <f t="shared" si="13"/>
        <v>0</v>
      </c>
      <c r="AG56" s="95">
        <f t="shared" si="13"/>
        <v>0</v>
      </c>
      <c r="AH56" s="95">
        <f t="shared" si="13"/>
        <v>0</v>
      </c>
      <c r="AI56" s="95">
        <f t="shared" si="13"/>
        <v>0</v>
      </c>
      <c r="AJ56" s="95">
        <f t="shared" si="13"/>
        <v>0</v>
      </c>
    </row>
    <row r="57" spans="1:36" s="17" customFormat="1" ht="15" outlineLevel="1" x14ac:dyDescent="0.2">
      <c r="A57" s="90" t="s">
        <v>64</v>
      </c>
      <c r="B57"/>
      <c r="C57"/>
      <c r="D57"/>
      <c r="E57"/>
      <c r="F57"/>
      <c r="G57" s="97">
        <f>IFERROR(INDEX($R$17:$R$41,MATCH(G48,$Q$17:$Q$41,0)),0)</f>
        <v>0</v>
      </c>
      <c r="H57" s="97">
        <f t="shared" ref="H57:AJ57" si="14">IFERROR(INDEX($R$17:$R$41,MATCH(H48,$Q$17:$Q$41,0)),0)</f>
        <v>0</v>
      </c>
      <c r="I57" s="97">
        <f t="shared" si="14"/>
        <v>0</v>
      </c>
      <c r="J57" s="97">
        <f t="shared" si="14"/>
        <v>0</v>
      </c>
      <c r="K57" s="97">
        <f t="shared" si="14"/>
        <v>0</v>
      </c>
      <c r="L57" s="97">
        <f t="shared" si="14"/>
        <v>0</v>
      </c>
      <c r="M57" s="97">
        <f t="shared" si="14"/>
        <v>0</v>
      </c>
      <c r="N57" s="97">
        <f t="shared" si="14"/>
        <v>0</v>
      </c>
      <c r="O57" s="97">
        <f t="shared" si="14"/>
        <v>0</v>
      </c>
      <c r="P57" s="97">
        <f t="shared" si="14"/>
        <v>0</v>
      </c>
      <c r="Q57" s="97">
        <f t="shared" si="14"/>
        <v>0</v>
      </c>
      <c r="R57" s="97">
        <f t="shared" si="14"/>
        <v>0</v>
      </c>
      <c r="S57" s="97">
        <f t="shared" si="14"/>
        <v>0</v>
      </c>
      <c r="T57" s="97">
        <f t="shared" si="14"/>
        <v>0</v>
      </c>
      <c r="U57" s="97">
        <f t="shared" si="14"/>
        <v>0</v>
      </c>
      <c r="V57" s="97">
        <f t="shared" si="14"/>
        <v>0</v>
      </c>
      <c r="W57" s="97">
        <f t="shared" si="14"/>
        <v>0</v>
      </c>
      <c r="X57" s="97">
        <f t="shared" si="14"/>
        <v>0</v>
      </c>
      <c r="Y57" s="97">
        <f t="shared" si="14"/>
        <v>0</v>
      </c>
      <c r="Z57" s="97">
        <f t="shared" si="14"/>
        <v>0</v>
      </c>
      <c r="AA57" s="97">
        <f t="shared" si="14"/>
        <v>35</v>
      </c>
      <c r="AB57" s="97">
        <f t="shared" si="14"/>
        <v>35</v>
      </c>
      <c r="AC57" s="97">
        <f t="shared" si="14"/>
        <v>35</v>
      </c>
      <c r="AD57" s="97">
        <f t="shared" si="14"/>
        <v>35</v>
      </c>
      <c r="AE57" s="97">
        <f t="shared" si="14"/>
        <v>35</v>
      </c>
      <c r="AF57" s="97">
        <f t="shared" si="14"/>
        <v>35</v>
      </c>
      <c r="AG57" s="97">
        <f t="shared" si="14"/>
        <v>35</v>
      </c>
      <c r="AH57" s="97">
        <f t="shared" si="14"/>
        <v>35</v>
      </c>
      <c r="AI57" s="97">
        <f t="shared" si="14"/>
        <v>35</v>
      </c>
      <c r="AJ57" s="97">
        <f t="shared" si="14"/>
        <v>35</v>
      </c>
    </row>
    <row r="58" spans="1:36" s="17" customFormat="1" ht="15" outlineLevel="1" x14ac:dyDescent="0.2">
      <c r="A58" s="89" t="s">
        <v>7</v>
      </c>
      <c r="B58"/>
      <c r="C58"/>
      <c r="D58"/>
      <c r="E58"/>
      <c r="F58"/>
      <c r="G58" s="98">
        <f>SUM(G56:G57)*G53</f>
        <v>3664417.5000000005</v>
      </c>
      <c r="H58" s="98">
        <f t="shared" ref="H58:AJ58" si="15">SUM(H56:H57)*H53</f>
        <v>3646095.4125000006</v>
      </c>
      <c r="I58" s="98">
        <f t="shared" si="15"/>
        <v>3627773.3250000007</v>
      </c>
      <c r="J58" s="98">
        <f t="shared" si="15"/>
        <v>3609451.2375000003</v>
      </c>
      <c r="K58" s="98">
        <f t="shared" si="15"/>
        <v>3591129.1500000004</v>
      </c>
      <c r="L58" s="98">
        <f t="shared" si="15"/>
        <v>3572807.0625000005</v>
      </c>
      <c r="M58" s="98">
        <f t="shared" si="15"/>
        <v>3554484.9750000006</v>
      </c>
      <c r="N58" s="98">
        <f t="shared" si="15"/>
        <v>3536162.8875000002</v>
      </c>
      <c r="O58" s="98">
        <f t="shared" si="15"/>
        <v>3517840.8000000003</v>
      </c>
      <c r="P58" s="98">
        <f t="shared" si="15"/>
        <v>3499518.7125000004</v>
      </c>
      <c r="Q58" s="98">
        <f t="shared" si="15"/>
        <v>3481196.6250000005</v>
      </c>
      <c r="R58" s="98">
        <f t="shared" si="15"/>
        <v>3462874.5375000001</v>
      </c>
      <c r="S58" s="98">
        <f t="shared" si="15"/>
        <v>3444552.45</v>
      </c>
      <c r="T58" s="98">
        <f t="shared" si="15"/>
        <v>3426230.3625000007</v>
      </c>
      <c r="U58" s="98">
        <f t="shared" si="15"/>
        <v>3407908.2750000004</v>
      </c>
      <c r="V58" s="98">
        <f t="shared" si="15"/>
        <v>3389586.1875000005</v>
      </c>
      <c r="W58" s="98">
        <f t="shared" si="15"/>
        <v>3371264.1000000006</v>
      </c>
      <c r="X58" s="98">
        <f t="shared" si="15"/>
        <v>3352942.0125000007</v>
      </c>
      <c r="Y58" s="98">
        <f t="shared" si="15"/>
        <v>3334619.9250000007</v>
      </c>
      <c r="Z58" s="98">
        <f t="shared" si="15"/>
        <v>3316297.8375000004</v>
      </c>
      <c r="AA58" s="98">
        <f t="shared" si="15"/>
        <v>1586655.0000000002</v>
      </c>
      <c r="AB58" s="98">
        <f t="shared" si="15"/>
        <v>1577840.2500000002</v>
      </c>
      <c r="AC58" s="98">
        <f t="shared" si="15"/>
        <v>1569025.5000000005</v>
      </c>
      <c r="AD58" s="98">
        <f t="shared" si="15"/>
        <v>1560210.7500000002</v>
      </c>
      <c r="AE58" s="98">
        <f t="shared" si="15"/>
        <v>1551396.0000000002</v>
      </c>
      <c r="AF58" s="98">
        <f t="shared" si="15"/>
        <v>1542581.2500000002</v>
      </c>
      <c r="AG58" s="98">
        <f t="shared" si="15"/>
        <v>1533766.5000000002</v>
      </c>
      <c r="AH58" s="98">
        <f>SUM(AH56:AH57)*AH53</f>
        <v>1524951.75</v>
      </c>
      <c r="AI58" s="98">
        <f t="shared" si="15"/>
        <v>1516137.0000000002</v>
      </c>
      <c r="AJ58" s="98">
        <f t="shared" si="15"/>
        <v>1507322.2500000002</v>
      </c>
    </row>
    <row r="59" spans="1:36" s="17" customFormat="1" ht="15" outlineLevel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</row>
    <row r="60" spans="1:36" s="17" customFormat="1" ht="15" outlineLevel="1" x14ac:dyDescent="0.2">
      <c r="A60" s="89" t="s">
        <v>65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</row>
    <row r="61" spans="1:36" s="17" customFormat="1" ht="15" outlineLevel="1" x14ac:dyDescent="0.2">
      <c r="A61" s="90" t="str">
        <f t="shared" ref="A61:A69" si="16">A24</f>
        <v>Operation and Maintenance</v>
      </c>
      <c r="B61"/>
      <c r="C61"/>
      <c r="D61"/>
      <c r="E61"/>
      <c r="F61"/>
      <c r="G61" s="91">
        <f>-IF(AND(G$49&gt;=$D24,G$49&lt;=$E24),$C24*(1+$C$10)^G$50,0)</f>
        <v>-276000</v>
      </c>
      <c r="H61" s="91">
        <f t="shared" ref="H61:AJ68" si="17">-IF(AND(H$49&gt;=$D24,H$49&lt;=$E24),$C24*(1+$C$10)^H$50,0)</f>
        <v>-281520</v>
      </c>
      <c r="I61" s="91">
        <f t="shared" si="17"/>
        <v>-287150.40000000002</v>
      </c>
      <c r="J61" s="91">
        <f t="shared" si="17"/>
        <v>-292893.408</v>
      </c>
      <c r="K61" s="91">
        <f t="shared" si="17"/>
        <v>-298751.27616000001</v>
      </c>
      <c r="L61" s="91">
        <f t="shared" si="17"/>
        <v>-304726.3016832</v>
      </c>
      <c r="M61" s="91">
        <f t="shared" si="17"/>
        <v>-310820.82771686401</v>
      </c>
      <c r="N61" s="91">
        <f t="shared" si="17"/>
        <v>-317037.24427120126</v>
      </c>
      <c r="O61" s="91">
        <f t="shared" si="17"/>
        <v>-323377.98915662529</v>
      </c>
      <c r="P61" s="91">
        <f t="shared" si="17"/>
        <v>-329845.54893975781</v>
      </c>
      <c r="Q61" s="91">
        <f t="shared" si="17"/>
        <v>-336442.45991855295</v>
      </c>
      <c r="R61" s="91">
        <f t="shared" si="17"/>
        <v>-343171.30911692395</v>
      </c>
      <c r="S61" s="91">
        <f t="shared" si="17"/>
        <v>-350034.73529926251</v>
      </c>
      <c r="T61" s="91">
        <f t="shared" si="17"/>
        <v>-357035.4300052477</v>
      </c>
      <c r="U61" s="91">
        <f t="shared" si="17"/>
        <v>-364176.13860535272</v>
      </c>
      <c r="V61" s="91">
        <f t="shared" si="17"/>
        <v>-371459.66137745965</v>
      </c>
      <c r="W61" s="91">
        <f t="shared" si="17"/>
        <v>-378888.85460500891</v>
      </c>
      <c r="X61" s="91">
        <f t="shared" si="17"/>
        <v>-386466.63169710914</v>
      </c>
      <c r="Y61" s="91">
        <f t="shared" si="17"/>
        <v>-394195.96433105128</v>
      </c>
      <c r="Z61" s="91">
        <f t="shared" si="17"/>
        <v>-402079.88361767225</v>
      </c>
      <c r="AA61" s="91">
        <f t="shared" si="17"/>
        <v>-410121.48129002575</v>
      </c>
      <c r="AB61" s="91">
        <f t="shared" si="17"/>
        <v>-418323.91091582627</v>
      </c>
      <c r="AC61" s="91">
        <f t="shared" si="17"/>
        <v>-426690.38913414278</v>
      </c>
      <c r="AD61" s="91">
        <f t="shared" si="17"/>
        <v>-435224.1969168256</v>
      </c>
      <c r="AE61" s="91">
        <f t="shared" si="17"/>
        <v>-443928.68085516209</v>
      </c>
      <c r="AF61" s="91">
        <f t="shared" si="17"/>
        <v>-452807.25447226537</v>
      </c>
      <c r="AG61" s="91">
        <f t="shared" si="17"/>
        <v>-461863.39956171071</v>
      </c>
      <c r="AH61" s="91">
        <f t="shared" si="17"/>
        <v>-471100.66755294485</v>
      </c>
      <c r="AI61" s="91">
        <f t="shared" si="17"/>
        <v>-480522.68090400385</v>
      </c>
      <c r="AJ61" s="91">
        <f t="shared" si="17"/>
        <v>-490133.13452208386</v>
      </c>
    </row>
    <row r="62" spans="1:36" s="17" customFormat="1" ht="15" outlineLevel="1" x14ac:dyDescent="0.2">
      <c r="A62" s="90" t="str">
        <f t="shared" si="16"/>
        <v>G&amp;A/Legal/Audit/Admin</v>
      </c>
      <c r="B62"/>
      <c r="C62"/>
      <c r="D62"/>
      <c r="E62"/>
      <c r="F62"/>
      <c r="G62" s="91">
        <f t="shared" ref="G62:V68" si="18">-IF(AND(G$49&gt;=$D25,G$49&lt;=$E25),$C25*(1+$C$10)^G$50,0)</f>
        <v>-75000</v>
      </c>
      <c r="H62" s="91">
        <f t="shared" si="18"/>
        <v>-76500</v>
      </c>
      <c r="I62" s="91">
        <f t="shared" si="18"/>
        <v>-78030</v>
      </c>
      <c r="J62" s="91">
        <f t="shared" si="18"/>
        <v>-79590.599999999991</v>
      </c>
      <c r="K62" s="91">
        <f t="shared" si="18"/>
        <v>-81182.411999999997</v>
      </c>
      <c r="L62" s="91">
        <f t="shared" si="18"/>
        <v>-82806.060240000006</v>
      </c>
      <c r="M62" s="91">
        <f t="shared" si="18"/>
        <v>-84462.181444800008</v>
      </c>
      <c r="N62" s="91">
        <f t="shared" si="18"/>
        <v>-86151.42507369598</v>
      </c>
      <c r="O62" s="91">
        <f t="shared" si="18"/>
        <v>-87874.453575169915</v>
      </c>
      <c r="P62" s="91">
        <f t="shared" si="18"/>
        <v>-89631.942646673313</v>
      </c>
      <c r="Q62" s="91">
        <f t="shared" si="18"/>
        <v>-91424.581499606778</v>
      </c>
      <c r="R62" s="91">
        <f t="shared" si="18"/>
        <v>-93253.073129598895</v>
      </c>
      <c r="S62" s="91">
        <f t="shared" si="18"/>
        <v>-95118.134592190894</v>
      </c>
      <c r="T62" s="91">
        <f t="shared" si="18"/>
        <v>-97020.497284034704</v>
      </c>
      <c r="U62" s="91">
        <f t="shared" si="18"/>
        <v>-98960.907229715405</v>
      </c>
      <c r="V62" s="91">
        <f t="shared" si="18"/>
        <v>-100940.12537430969</v>
      </c>
      <c r="W62" s="91">
        <f t="shared" si="17"/>
        <v>-102958.9278817959</v>
      </c>
      <c r="X62" s="91">
        <f t="shared" si="17"/>
        <v>-105018.10643943182</v>
      </c>
      <c r="Y62" s="91">
        <f t="shared" si="17"/>
        <v>-107118.46856822046</v>
      </c>
      <c r="Z62" s="91">
        <f t="shared" si="17"/>
        <v>-109260.83793958486</v>
      </c>
      <c r="AA62" s="91">
        <f t="shared" si="17"/>
        <v>-111446.05469837657</v>
      </c>
      <c r="AB62" s="91">
        <f t="shared" si="17"/>
        <v>-113674.97579234409</v>
      </c>
      <c r="AC62" s="91">
        <f t="shared" si="17"/>
        <v>-115948.47530819097</v>
      </c>
      <c r="AD62" s="91">
        <f t="shared" si="17"/>
        <v>-118267.44481435478</v>
      </c>
      <c r="AE62" s="91">
        <f t="shared" si="17"/>
        <v>-120632.79371064188</v>
      </c>
      <c r="AF62" s="91">
        <f t="shared" si="17"/>
        <v>-123045.44958485472</v>
      </c>
      <c r="AG62" s="91">
        <f t="shared" si="17"/>
        <v>-125506.35857655182</v>
      </c>
      <c r="AH62" s="91">
        <f t="shared" si="17"/>
        <v>-128016.48574808284</v>
      </c>
      <c r="AI62" s="91">
        <f t="shared" si="17"/>
        <v>-130576.81546304452</v>
      </c>
      <c r="AJ62" s="91">
        <f t="shared" si="17"/>
        <v>-133188.35177230538</v>
      </c>
    </row>
    <row r="63" spans="1:36" s="17" customFormat="1" ht="15" outlineLevel="1" x14ac:dyDescent="0.2">
      <c r="A63" s="90" t="str">
        <f t="shared" si="16"/>
        <v>Insurance</v>
      </c>
      <c r="B63"/>
      <c r="C63"/>
      <c r="D63"/>
      <c r="E63"/>
      <c r="F63"/>
      <c r="G63" s="91">
        <f t="shared" si="18"/>
        <v>-103000</v>
      </c>
      <c r="H63" s="91">
        <f t="shared" si="17"/>
        <v>-105060</v>
      </c>
      <c r="I63" s="91">
        <f t="shared" si="17"/>
        <v>-107161.2</v>
      </c>
      <c r="J63" s="91">
        <f t="shared" si="17"/>
        <v>-109304.424</v>
      </c>
      <c r="K63" s="91">
        <f t="shared" si="17"/>
        <v>-111490.51247999999</v>
      </c>
      <c r="L63" s="91">
        <f t="shared" si="17"/>
        <v>-113720.3227296</v>
      </c>
      <c r="M63" s="91">
        <f t="shared" si="17"/>
        <v>-115994.72918419201</v>
      </c>
      <c r="N63" s="91">
        <f t="shared" si="17"/>
        <v>-118314.62376787582</v>
      </c>
      <c r="O63" s="91">
        <f t="shared" si="17"/>
        <v>-120680.91624323335</v>
      </c>
      <c r="P63" s="91">
        <f t="shared" si="17"/>
        <v>-123094.53456809801</v>
      </c>
      <c r="Q63" s="91">
        <f t="shared" si="17"/>
        <v>-125556.42525945998</v>
      </c>
      <c r="R63" s="91">
        <f t="shared" si="17"/>
        <v>-128067.55376464916</v>
      </c>
      <c r="S63" s="91">
        <f t="shared" si="17"/>
        <v>-130628.90483994216</v>
      </c>
      <c r="T63" s="91">
        <f t="shared" si="17"/>
        <v>-133241.482936741</v>
      </c>
      <c r="U63" s="91">
        <f t="shared" si="17"/>
        <v>-135906.31259547584</v>
      </c>
      <c r="V63" s="91">
        <f t="shared" si="17"/>
        <v>-138624.43884738532</v>
      </c>
      <c r="W63" s="91">
        <f t="shared" si="17"/>
        <v>-141396.92762433304</v>
      </c>
      <c r="X63" s="91">
        <f t="shared" si="17"/>
        <v>-144224.86617681972</v>
      </c>
      <c r="Y63" s="91">
        <f t="shared" si="17"/>
        <v>-147109.36350035609</v>
      </c>
      <c r="Z63" s="91">
        <f t="shared" si="17"/>
        <v>-150051.55077036322</v>
      </c>
      <c r="AA63" s="91">
        <f t="shared" si="17"/>
        <v>-153052.58178577048</v>
      </c>
      <c r="AB63" s="91">
        <f t="shared" si="17"/>
        <v>-156113.63342148589</v>
      </c>
      <c r="AC63" s="91">
        <f t="shared" si="17"/>
        <v>-159235.9060899156</v>
      </c>
      <c r="AD63" s="91">
        <f t="shared" si="17"/>
        <v>-162420.6242117139</v>
      </c>
      <c r="AE63" s="91">
        <f t="shared" si="17"/>
        <v>-165669.03669594819</v>
      </c>
      <c r="AF63" s="91">
        <f t="shared" si="17"/>
        <v>-168982.41742986714</v>
      </c>
      <c r="AG63" s="91">
        <f t="shared" si="17"/>
        <v>-172362.06577846452</v>
      </c>
      <c r="AH63" s="91">
        <f t="shared" si="17"/>
        <v>-175809.30709403375</v>
      </c>
      <c r="AI63" s="91">
        <f t="shared" si="17"/>
        <v>-179325.49323591447</v>
      </c>
      <c r="AJ63" s="91">
        <f t="shared" si="17"/>
        <v>-182912.00310063275</v>
      </c>
    </row>
    <row r="64" spans="1:36" s="17" customFormat="1" ht="15" outlineLevel="1" x14ac:dyDescent="0.2">
      <c r="A64" s="90" t="str">
        <f t="shared" si="16"/>
        <v>Property Tax</v>
      </c>
      <c r="B64"/>
      <c r="C64"/>
      <c r="D64"/>
      <c r="E64"/>
      <c r="F64"/>
      <c r="G64" s="91">
        <f t="shared" si="18"/>
        <v>-155000</v>
      </c>
      <c r="H64" s="91">
        <f t="shared" si="17"/>
        <v>-158100</v>
      </c>
      <c r="I64" s="91">
        <f t="shared" si="17"/>
        <v>-161262</v>
      </c>
      <c r="J64" s="91">
        <f t="shared" si="17"/>
        <v>-164487.24</v>
      </c>
      <c r="K64" s="91">
        <f t="shared" si="17"/>
        <v>-167776.98480000001</v>
      </c>
      <c r="L64" s="91">
        <f t="shared" si="17"/>
        <v>-171132.524496</v>
      </c>
      <c r="M64" s="91">
        <f t="shared" si="17"/>
        <v>-174555.17498592002</v>
      </c>
      <c r="N64" s="91">
        <f t="shared" si="17"/>
        <v>-178046.27848563838</v>
      </c>
      <c r="O64" s="91">
        <f t="shared" si="17"/>
        <v>-181607.20405535115</v>
      </c>
      <c r="P64" s="91">
        <f t="shared" si="17"/>
        <v>-185239.34813645817</v>
      </c>
      <c r="Q64" s="91">
        <f t="shared" si="17"/>
        <v>-188944.13509918735</v>
      </c>
      <c r="R64" s="91">
        <f t="shared" si="17"/>
        <v>-192723.01780117105</v>
      </c>
      <c r="S64" s="91">
        <f t="shared" si="17"/>
        <v>-196577.47815719451</v>
      </c>
      <c r="T64" s="91">
        <f t="shared" si="17"/>
        <v>-200509.0277203384</v>
      </c>
      <c r="U64" s="91">
        <f t="shared" si="17"/>
        <v>-204519.20827474518</v>
      </c>
      <c r="V64" s="91">
        <f t="shared" si="17"/>
        <v>-208609.59244024003</v>
      </c>
      <c r="W64" s="91">
        <f t="shared" si="17"/>
        <v>-212781.78428904485</v>
      </c>
      <c r="X64" s="91">
        <f t="shared" si="17"/>
        <v>-217037.41997482578</v>
      </c>
      <c r="Y64" s="91">
        <f t="shared" si="17"/>
        <v>-221378.16837432227</v>
      </c>
      <c r="Z64" s="91">
        <f t="shared" si="17"/>
        <v>-225805.7317418087</v>
      </c>
      <c r="AA64" s="91">
        <f t="shared" si="17"/>
        <v>-230321.84637664491</v>
      </c>
      <c r="AB64" s="91">
        <f t="shared" si="17"/>
        <v>-234928.28330417778</v>
      </c>
      <c r="AC64" s="91">
        <f t="shared" si="17"/>
        <v>-239626.84897026134</v>
      </c>
      <c r="AD64" s="91">
        <f t="shared" si="17"/>
        <v>-244419.38594966655</v>
      </c>
      <c r="AE64" s="91">
        <f t="shared" si="17"/>
        <v>-249307.77366865988</v>
      </c>
      <c r="AF64" s="91">
        <f t="shared" si="17"/>
        <v>-254293.92914203307</v>
      </c>
      <c r="AG64" s="91">
        <f t="shared" si="17"/>
        <v>-259379.80772487377</v>
      </c>
      <c r="AH64" s="91">
        <f t="shared" si="17"/>
        <v>-264567.40387937118</v>
      </c>
      <c r="AI64" s="91">
        <f t="shared" si="17"/>
        <v>-269858.75195695867</v>
      </c>
      <c r="AJ64" s="91">
        <f t="shared" si="17"/>
        <v>-275255.92699609778</v>
      </c>
    </row>
    <row r="65" spans="1:36" s="17" customFormat="1" ht="14.25" customHeight="1" outlineLevel="1" x14ac:dyDescent="0.2">
      <c r="A65" s="90" t="str">
        <f t="shared" si="16"/>
        <v>Lease 1-20</v>
      </c>
      <c r="B65"/>
      <c r="C65"/>
      <c r="D65"/>
      <c r="E65"/>
      <c r="F65"/>
      <c r="G65" s="91">
        <f t="shared" si="18"/>
        <v>-115000</v>
      </c>
      <c r="H65" s="91">
        <f t="shared" si="17"/>
        <v>-117300</v>
      </c>
      <c r="I65" s="91">
        <f t="shared" si="17"/>
        <v>-119646</v>
      </c>
      <c r="J65" s="91">
        <f t="shared" si="17"/>
        <v>-122038.92</v>
      </c>
      <c r="K65" s="91">
        <f t="shared" si="17"/>
        <v>-124479.69839999999</v>
      </c>
      <c r="L65" s="91">
        <f t="shared" si="17"/>
        <v>-126969.29236799999</v>
      </c>
      <c r="M65" s="91">
        <f t="shared" si="17"/>
        <v>-129508.67821536001</v>
      </c>
      <c r="N65" s="91">
        <f t="shared" si="17"/>
        <v>-132098.85177966717</v>
      </c>
      <c r="O65" s="91">
        <f t="shared" si="17"/>
        <v>-134740.82881526052</v>
      </c>
      <c r="P65" s="91">
        <f t="shared" si="17"/>
        <v>-137435.64539156575</v>
      </c>
      <c r="Q65" s="91">
        <f t="shared" si="17"/>
        <v>-140184.35829939708</v>
      </c>
      <c r="R65" s="91">
        <f t="shared" si="17"/>
        <v>-142988.04546538499</v>
      </c>
      <c r="S65" s="91">
        <f t="shared" si="17"/>
        <v>-145847.80637469271</v>
      </c>
      <c r="T65" s="91">
        <f t="shared" si="17"/>
        <v>-148764.76250218655</v>
      </c>
      <c r="U65" s="91">
        <f t="shared" si="17"/>
        <v>-151740.05775223029</v>
      </c>
      <c r="V65" s="91">
        <f t="shared" si="17"/>
        <v>-154774.85890727487</v>
      </c>
      <c r="W65" s="91">
        <f t="shared" si="17"/>
        <v>-157870.35608542038</v>
      </c>
      <c r="X65" s="91">
        <f t="shared" si="17"/>
        <v>-161027.7632071288</v>
      </c>
      <c r="Y65" s="91">
        <f t="shared" si="17"/>
        <v>-164248.31847127137</v>
      </c>
      <c r="Z65" s="91">
        <f t="shared" si="17"/>
        <v>-167533.28484069678</v>
      </c>
      <c r="AA65" s="91">
        <f t="shared" si="17"/>
        <v>0</v>
      </c>
      <c r="AB65" s="91">
        <f t="shared" si="17"/>
        <v>0</v>
      </c>
      <c r="AC65" s="91">
        <f t="shared" si="17"/>
        <v>0</v>
      </c>
      <c r="AD65" s="91">
        <f t="shared" si="17"/>
        <v>0</v>
      </c>
      <c r="AE65" s="91">
        <f t="shared" si="17"/>
        <v>0</v>
      </c>
      <c r="AF65" s="91">
        <f t="shared" si="17"/>
        <v>0</v>
      </c>
      <c r="AG65" s="91">
        <f t="shared" si="17"/>
        <v>0</v>
      </c>
      <c r="AH65" s="91">
        <f t="shared" si="17"/>
        <v>0</v>
      </c>
      <c r="AI65" s="91">
        <f t="shared" si="17"/>
        <v>0</v>
      </c>
      <c r="AJ65" s="91">
        <f t="shared" si="17"/>
        <v>0</v>
      </c>
    </row>
    <row r="66" spans="1:36" s="21" customFormat="1" ht="15" outlineLevel="1" x14ac:dyDescent="0.2">
      <c r="A66" s="90" t="str">
        <f t="shared" si="16"/>
        <v>Lease 21-30</v>
      </c>
      <c r="B66"/>
      <c r="C66"/>
      <c r="D66"/>
      <c r="E66"/>
      <c r="F66"/>
      <c r="G66" s="91">
        <f t="shared" si="18"/>
        <v>0</v>
      </c>
      <c r="H66" s="91">
        <f t="shared" si="17"/>
        <v>0</v>
      </c>
      <c r="I66" s="91">
        <f t="shared" si="17"/>
        <v>0</v>
      </c>
      <c r="J66" s="91">
        <f t="shared" si="17"/>
        <v>0</v>
      </c>
      <c r="K66" s="91">
        <f t="shared" si="17"/>
        <v>0</v>
      </c>
      <c r="L66" s="91">
        <f t="shared" si="17"/>
        <v>0</v>
      </c>
      <c r="M66" s="91">
        <f t="shared" si="17"/>
        <v>0</v>
      </c>
      <c r="N66" s="91">
        <f t="shared" si="17"/>
        <v>0</v>
      </c>
      <c r="O66" s="91">
        <f t="shared" si="17"/>
        <v>0</v>
      </c>
      <c r="P66" s="91">
        <f t="shared" si="17"/>
        <v>0</v>
      </c>
      <c r="Q66" s="91">
        <f t="shared" si="17"/>
        <v>0</v>
      </c>
      <c r="R66" s="91">
        <f t="shared" si="17"/>
        <v>0</v>
      </c>
      <c r="S66" s="91">
        <f t="shared" si="17"/>
        <v>0</v>
      </c>
      <c r="T66" s="91">
        <f t="shared" si="17"/>
        <v>0</v>
      </c>
      <c r="U66" s="91">
        <f t="shared" si="17"/>
        <v>0</v>
      </c>
      <c r="V66" s="91">
        <f t="shared" si="17"/>
        <v>0</v>
      </c>
      <c r="W66" s="91">
        <f t="shared" si="17"/>
        <v>0</v>
      </c>
      <c r="X66" s="91">
        <f t="shared" si="17"/>
        <v>0</v>
      </c>
      <c r="Y66" s="91">
        <f t="shared" si="17"/>
        <v>0</v>
      </c>
      <c r="Z66" s="91">
        <f t="shared" si="17"/>
        <v>0</v>
      </c>
      <c r="AA66" s="91">
        <f t="shared" si="17"/>
        <v>-245181.32033642844</v>
      </c>
      <c r="AB66" s="91">
        <f t="shared" si="17"/>
        <v>-250084.94674315699</v>
      </c>
      <c r="AC66" s="91">
        <f t="shared" si="17"/>
        <v>-255086.64567802014</v>
      </c>
      <c r="AD66" s="91">
        <f t="shared" si="17"/>
        <v>-260188.37859158052</v>
      </c>
      <c r="AE66" s="91">
        <f t="shared" si="17"/>
        <v>-265392.14616341214</v>
      </c>
      <c r="AF66" s="91">
        <f t="shared" si="17"/>
        <v>-270699.98908668035</v>
      </c>
      <c r="AG66" s="91">
        <f t="shared" si="17"/>
        <v>-276113.98886841402</v>
      </c>
      <c r="AH66" s="91">
        <f t="shared" si="17"/>
        <v>-281636.26864578226</v>
      </c>
      <c r="AI66" s="91">
        <f t="shared" si="17"/>
        <v>-287268.99401869794</v>
      </c>
      <c r="AJ66" s="91">
        <f t="shared" si="17"/>
        <v>-293014.37389907188</v>
      </c>
    </row>
    <row r="67" spans="1:36" s="17" customFormat="1" ht="15" outlineLevel="1" x14ac:dyDescent="0.2">
      <c r="A67" s="90" t="str">
        <f t="shared" si="16"/>
        <v>Interconnect O&amp;M</v>
      </c>
      <c r="B67"/>
      <c r="C67"/>
      <c r="D67"/>
      <c r="E67"/>
      <c r="F67"/>
      <c r="G67" s="91">
        <f t="shared" si="18"/>
        <v>-28000</v>
      </c>
      <c r="H67" s="91">
        <f t="shared" si="17"/>
        <v>-28560</v>
      </c>
      <c r="I67" s="91">
        <f t="shared" si="17"/>
        <v>-29131.200000000001</v>
      </c>
      <c r="J67" s="91">
        <f t="shared" si="17"/>
        <v>-29713.823999999997</v>
      </c>
      <c r="K67" s="91">
        <f t="shared" si="17"/>
        <v>-30308.100480000001</v>
      </c>
      <c r="L67" s="91">
        <f t="shared" si="17"/>
        <v>-30914.262489600002</v>
      </c>
      <c r="M67" s="91">
        <f t="shared" si="17"/>
        <v>-31532.547739392001</v>
      </c>
      <c r="N67" s="91">
        <f t="shared" si="17"/>
        <v>-32163.198694179835</v>
      </c>
      <c r="O67" s="91">
        <f t="shared" si="17"/>
        <v>-32806.462668063432</v>
      </c>
      <c r="P67" s="91">
        <f t="shared" si="17"/>
        <v>-33462.591921424704</v>
      </c>
      <c r="Q67" s="91">
        <f t="shared" si="17"/>
        <v>-34131.843759853196</v>
      </c>
      <c r="R67" s="91">
        <f t="shared" si="17"/>
        <v>-34814.480635050255</v>
      </c>
      <c r="S67" s="91">
        <f t="shared" si="17"/>
        <v>-35510.770247751265</v>
      </c>
      <c r="T67" s="91">
        <f t="shared" si="17"/>
        <v>-36220.985652706288</v>
      </c>
      <c r="U67" s="91">
        <f t="shared" si="17"/>
        <v>-36945.405365760424</v>
      </c>
      <c r="V67" s="91">
        <f t="shared" si="17"/>
        <v>-37684.313473075621</v>
      </c>
      <c r="W67" s="91">
        <f t="shared" si="17"/>
        <v>-38437.99974253714</v>
      </c>
      <c r="X67" s="91">
        <f t="shared" si="17"/>
        <v>-39206.759737387882</v>
      </c>
      <c r="Y67" s="91">
        <f t="shared" si="17"/>
        <v>-39990.894932135634</v>
      </c>
      <c r="Z67" s="91">
        <f t="shared" si="17"/>
        <v>-40790.71283077835</v>
      </c>
      <c r="AA67" s="91">
        <f t="shared" si="17"/>
        <v>-41606.527087393915</v>
      </c>
      <c r="AB67" s="91">
        <f t="shared" si="17"/>
        <v>-42438.657629141795</v>
      </c>
      <c r="AC67" s="91">
        <f t="shared" si="17"/>
        <v>-43287.43078172463</v>
      </c>
      <c r="AD67" s="91">
        <f t="shared" si="17"/>
        <v>-44153.179397359119</v>
      </c>
      <c r="AE67" s="91">
        <f t="shared" si="17"/>
        <v>-45036.2429853063</v>
      </c>
      <c r="AF67" s="91">
        <f t="shared" si="17"/>
        <v>-45936.967845012427</v>
      </c>
      <c r="AG67" s="91">
        <f t="shared" si="17"/>
        <v>-46855.707201912679</v>
      </c>
      <c r="AH67" s="91">
        <f t="shared" si="17"/>
        <v>-47792.821345950928</v>
      </c>
      <c r="AI67" s="91">
        <f t="shared" si="17"/>
        <v>-48748.677772869953</v>
      </c>
      <c r="AJ67" s="91">
        <f t="shared" si="17"/>
        <v>-49723.651328327345</v>
      </c>
    </row>
    <row r="68" spans="1:36" s="17" customFormat="1" ht="15" outlineLevel="1" x14ac:dyDescent="0.2">
      <c r="A68" s="90" t="str">
        <f t="shared" si="16"/>
        <v>Inverter Reserve</v>
      </c>
      <c r="B68"/>
      <c r="C68"/>
      <c r="D68"/>
      <c r="E68"/>
      <c r="F68"/>
      <c r="G68" s="91">
        <f t="shared" si="18"/>
        <v>-30000</v>
      </c>
      <c r="H68" s="91">
        <f t="shared" si="17"/>
        <v>-30600</v>
      </c>
      <c r="I68" s="91">
        <f t="shared" si="17"/>
        <v>-31212</v>
      </c>
      <c r="J68" s="91">
        <f t="shared" si="17"/>
        <v>-31836.239999999998</v>
      </c>
      <c r="K68" s="91">
        <f t="shared" si="17"/>
        <v>-32472.964799999998</v>
      </c>
      <c r="L68" s="91">
        <f t="shared" si="17"/>
        <v>-33122.424096000002</v>
      </c>
      <c r="M68" s="91">
        <f t="shared" si="17"/>
        <v>-33784.872577920003</v>
      </c>
      <c r="N68" s="91">
        <f t="shared" si="17"/>
        <v>-34460.570029478396</v>
      </c>
      <c r="O68" s="91">
        <f t="shared" si="17"/>
        <v>-35149.781430067967</v>
      </c>
      <c r="P68" s="91">
        <f t="shared" si="17"/>
        <v>-35852.777058669322</v>
      </c>
      <c r="Q68" s="91">
        <f t="shared" si="17"/>
        <v>-36569.83259984271</v>
      </c>
      <c r="R68" s="91">
        <f t="shared" si="17"/>
        <v>-37301.229251839562</v>
      </c>
      <c r="S68" s="91">
        <f t="shared" si="17"/>
        <v>-38047.253836876356</v>
      </c>
      <c r="T68" s="91">
        <f t="shared" si="17"/>
        <v>-38808.19891361388</v>
      </c>
      <c r="U68" s="91">
        <f t="shared" si="17"/>
        <v>-39584.362891886165</v>
      </c>
      <c r="V68" s="91">
        <f t="shared" si="17"/>
        <v>0</v>
      </c>
      <c r="W68" s="91">
        <f t="shared" si="17"/>
        <v>0</v>
      </c>
      <c r="X68" s="91">
        <f t="shared" si="17"/>
        <v>0</v>
      </c>
      <c r="Y68" s="91">
        <f t="shared" si="17"/>
        <v>0</v>
      </c>
      <c r="Z68" s="91">
        <f t="shared" si="17"/>
        <v>0</v>
      </c>
      <c r="AA68" s="91">
        <f t="shared" si="17"/>
        <v>0</v>
      </c>
      <c r="AB68" s="91">
        <f t="shared" si="17"/>
        <v>0</v>
      </c>
      <c r="AC68" s="91">
        <f t="shared" si="17"/>
        <v>0</v>
      </c>
      <c r="AD68" s="91">
        <f t="shared" si="17"/>
        <v>0</v>
      </c>
      <c r="AE68" s="91">
        <f t="shared" si="17"/>
        <v>0</v>
      </c>
      <c r="AF68" s="91">
        <f t="shared" si="17"/>
        <v>0</v>
      </c>
      <c r="AG68" s="91">
        <f t="shared" si="17"/>
        <v>0</v>
      </c>
      <c r="AH68" s="91">
        <f t="shared" si="17"/>
        <v>0</v>
      </c>
      <c r="AI68" s="91">
        <f t="shared" si="17"/>
        <v>0</v>
      </c>
      <c r="AJ68" s="91">
        <f t="shared" si="17"/>
        <v>0</v>
      </c>
    </row>
    <row r="69" spans="1:36" s="21" customFormat="1" ht="15" outlineLevel="1" x14ac:dyDescent="0.2">
      <c r="A69" s="90" t="str">
        <f t="shared" si="16"/>
        <v>Contingency</v>
      </c>
      <c r="B69"/>
      <c r="C69"/>
      <c r="D69"/>
      <c r="E69"/>
      <c r="F69"/>
      <c r="G69" s="99">
        <f>SUM(G61:G68)*$C$32</f>
        <v>-39100</v>
      </c>
      <c r="H69" s="99">
        <f t="shared" ref="H69:AJ69" si="19">SUM(H61:H68)*$C$32</f>
        <v>-39882</v>
      </c>
      <c r="I69" s="99">
        <f t="shared" si="19"/>
        <v>-40679.640000000007</v>
      </c>
      <c r="J69" s="99">
        <f t="shared" si="19"/>
        <v>-41493.232800000005</v>
      </c>
      <c r="K69" s="99">
        <f t="shared" si="19"/>
        <v>-42323.097456000003</v>
      </c>
      <c r="L69" s="99">
        <f t="shared" si="19"/>
        <v>-43169.559405120002</v>
      </c>
      <c r="M69" s="99">
        <f t="shared" si="19"/>
        <v>-44032.950593222406</v>
      </c>
      <c r="N69" s="99">
        <f t="shared" si="19"/>
        <v>-44913.609605086851</v>
      </c>
      <c r="O69" s="99">
        <f t="shared" si="19"/>
        <v>-45811.88179718858</v>
      </c>
      <c r="P69" s="99">
        <f t="shared" si="19"/>
        <v>-46728.119433132357</v>
      </c>
      <c r="Q69" s="99">
        <f t="shared" si="19"/>
        <v>-47662.681821795006</v>
      </c>
      <c r="R69" s="99">
        <f t="shared" si="19"/>
        <v>-48615.935458230895</v>
      </c>
      <c r="S69" s="99">
        <f t="shared" si="19"/>
        <v>-49588.254167395527</v>
      </c>
      <c r="T69" s="99">
        <f t="shared" si="19"/>
        <v>-50580.019250743433</v>
      </c>
      <c r="U69" s="99">
        <f t="shared" si="19"/>
        <v>-51591.619635758303</v>
      </c>
      <c r="V69" s="99">
        <f t="shared" si="19"/>
        <v>-50604.649520987266</v>
      </c>
      <c r="W69" s="99">
        <f t="shared" si="19"/>
        <v>-51616.742511407014</v>
      </c>
      <c r="X69" s="99">
        <f t="shared" si="19"/>
        <v>-52649.077361635165</v>
      </c>
      <c r="Y69" s="99">
        <f t="shared" si="19"/>
        <v>-53702.058908867861</v>
      </c>
      <c r="Z69" s="99">
        <f t="shared" si="19"/>
        <v>-54776.100087045219</v>
      </c>
      <c r="AA69" s="99">
        <f t="shared" si="19"/>
        <v>-59586.490578732002</v>
      </c>
      <c r="AB69" s="99">
        <f t="shared" si="19"/>
        <v>-60778.220390306647</v>
      </c>
      <c r="AC69" s="99">
        <f t="shared" si="19"/>
        <v>-61993.784798112785</v>
      </c>
      <c r="AD69" s="99">
        <f t="shared" si="19"/>
        <v>-63233.660494075019</v>
      </c>
      <c r="AE69" s="99">
        <f t="shared" si="19"/>
        <v>-64498.333703956523</v>
      </c>
      <c r="AF69" s="99">
        <f t="shared" si="19"/>
        <v>-65788.300378035667</v>
      </c>
      <c r="AG69" s="99">
        <f t="shared" si="19"/>
        <v>-67104.066385596394</v>
      </c>
      <c r="AH69" s="99">
        <f t="shared" si="19"/>
        <v>-68446.147713308295</v>
      </c>
      <c r="AI69" s="99">
        <f t="shared" si="19"/>
        <v>-69815.070667574473</v>
      </c>
      <c r="AJ69" s="99">
        <f t="shared" si="19"/>
        <v>-71211.372080925954</v>
      </c>
    </row>
    <row r="70" spans="1:36" s="21" customFormat="1" ht="15" outlineLevel="1" x14ac:dyDescent="0.2">
      <c r="A70" s="89" t="s">
        <v>67</v>
      </c>
      <c r="B70"/>
      <c r="C70"/>
      <c r="D70"/>
      <c r="E70"/>
      <c r="F70"/>
      <c r="G70" s="100">
        <f>SUM(G61:G69)</f>
        <v>-821100</v>
      </c>
      <c r="H70" s="100">
        <f t="shared" ref="H70:AJ70" si="20">SUM(H61:H69)</f>
        <v>-837522</v>
      </c>
      <c r="I70" s="100">
        <f t="shared" si="20"/>
        <v>-854272.44000000006</v>
      </c>
      <c r="J70" s="100">
        <f t="shared" si="20"/>
        <v>-871357.88880000007</v>
      </c>
      <c r="K70" s="100">
        <f t="shared" si="20"/>
        <v>-888785.04657600005</v>
      </c>
      <c r="L70" s="100">
        <f t="shared" si="20"/>
        <v>-906560.74750752002</v>
      </c>
      <c r="M70" s="100">
        <f t="shared" si="20"/>
        <v>-924691.96245767048</v>
      </c>
      <c r="N70" s="100">
        <f t="shared" si="20"/>
        <v>-943185.80170682387</v>
      </c>
      <c r="O70" s="100">
        <f t="shared" si="20"/>
        <v>-962049.51774096012</v>
      </c>
      <c r="P70" s="100">
        <f t="shared" si="20"/>
        <v>-981290.50809577946</v>
      </c>
      <c r="Q70" s="100">
        <f t="shared" si="20"/>
        <v>-1000916.3182576951</v>
      </c>
      <c r="R70" s="100">
        <f t="shared" si="20"/>
        <v>-1020934.6446228487</v>
      </c>
      <c r="S70" s="100">
        <f t="shared" si="20"/>
        <v>-1041353.337515306</v>
      </c>
      <c r="T70" s="100">
        <f t="shared" si="20"/>
        <v>-1062180.4042656119</v>
      </c>
      <c r="U70" s="100">
        <f t="shared" si="20"/>
        <v>-1083424.0123509243</v>
      </c>
      <c r="V70" s="100">
        <f t="shared" si="20"/>
        <v>-1062697.6399407324</v>
      </c>
      <c r="W70" s="100">
        <f t="shared" si="20"/>
        <v>-1083951.5927395474</v>
      </c>
      <c r="X70" s="100">
        <f t="shared" si="20"/>
        <v>-1105630.6245943385</v>
      </c>
      <c r="Y70" s="100">
        <f t="shared" si="20"/>
        <v>-1127743.2370862251</v>
      </c>
      <c r="Z70" s="100">
        <f t="shared" si="20"/>
        <v>-1150298.1018279495</v>
      </c>
      <c r="AA70" s="100">
        <f t="shared" si="20"/>
        <v>-1251316.302153372</v>
      </c>
      <c r="AB70" s="100">
        <f t="shared" si="20"/>
        <v>-1276342.6281964395</v>
      </c>
      <c r="AC70" s="100">
        <f t="shared" si="20"/>
        <v>-1301869.4807603683</v>
      </c>
      <c r="AD70" s="100">
        <f t="shared" si="20"/>
        <v>-1327906.8703755753</v>
      </c>
      <c r="AE70" s="100">
        <f t="shared" si="20"/>
        <v>-1354465.007783087</v>
      </c>
      <c r="AF70" s="100">
        <f t="shared" si="20"/>
        <v>-1381554.307938749</v>
      </c>
      <c r="AG70" s="100">
        <f t="shared" si="20"/>
        <v>-1409185.394097524</v>
      </c>
      <c r="AH70" s="100">
        <f t="shared" si="20"/>
        <v>-1437369.1019794741</v>
      </c>
      <c r="AI70" s="100">
        <f t="shared" si="20"/>
        <v>-1466116.4840190639</v>
      </c>
      <c r="AJ70" s="100">
        <f t="shared" si="20"/>
        <v>-1495438.813699445</v>
      </c>
    </row>
    <row r="71" spans="1:36" s="21" customFormat="1" ht="15" outlineLevel="1" x14ac:dyDescent="0.2">
      <c r="A71" s="103" t="s">
        <v>50</v>
      </c>
      <c r="B71"/>
      <c r="C71"/>
      <c r="D71"/>
      <c r="E71"/>
      <c r="F71"/>
      <c r="G71" s="104">
        <f>G70/-G53</f>
        <v>16.301369863013697</v>
      </c>
      <c r="H71" s="104">
        <f t="shared" ref="H71:AJ71" si="21">H70/-H53</f>
        <v>16.710952020375849</v>
      </c>
      <c r="I71" s="104">
        <f t="shared" si="21"/>
        <v>17.131257783312577</v>
      </c>
      <c r="J71" s="104">
        <f t="shared" si="21"/>
        <v>17.562582852374661</v>
      </c>
      <c r="K71" s="104">
        <f t="shared" si="21"/>
        <v>18.005231624266145</v>
      </c>
      <c r="L71" s="104">
        <f t="shared" si="21"/>
        <v>18.459517468324549</v>
      </c>
      <c r="M71" s="104">
        <f t="shared" si="21"/>
        <v>18.925763012627595</v>
      </c>
      <c r="N71" s="104">
        <f t="shared" si="21"/>
        <v>19.404300440097142</v>
      </c>
      <c r="O71" s="104">
        <f t="shared" si="21"/>
        <v>19.895471794987095</v>
      </c>
      <c r="P71" s="104">
        <f t="shared" si="21"/>
        <v>20.399629300158498</v>
      </c>
      <c r="Q71" s="104">
        <f t="shared" si="21"/>
        <v>20.917135685562521</v>
      </c>
      <c r="R71" s="104">
        <f t="shared" si="21"/>
        <v>21.448364528370455</v>
      </c>
      <c r="S71" s="104">
        <f t="shared" si="21"/>
        <v>21.993700605208815</v>
      </c>
      <c r="T71" s="104">
        <f t="shared" si="21"/>
        <v>22.553540256977758</v>
      </c>
      <c r="U71" s="104">
        <f t="shared" si="21"/>
        <v>23.128291766752358</v>
      </c>
      <c r="V71" s="104">
        <f t="shared" si="21"/>
        <v>22.80846363806711</v>
      </c>
      <c r="W71" s="104">
        <f t="shared" si="21"/>
        <v>23.391071133169916</v>
      </c>
      <c r="X71" s="104">
        <f t="shared" si="21"/>
        <v>23.98926901788705</v>
      </c>
      <c r="Y71" s="104">
        <f t="shared" si="21"/>
        <v>24.603499752081298</v>
      </c>
      <c r="Z71" s="104">
        <f t="shared" si="21"/>
        <v>25.234219303736865</v>
      </c>
      <c r="AA71" s="104">
        <f t="shared" si="21"/>
        <v>27.602768450210039</v>
      </c>
      <c r="AB71" s="104">
        <f t="shared" si="21"/>
        <v>28.312113337757339</v>
      </c>
      <c r="AC71" s="104">
        <f t="shared" si="21"/>
        <v>29.040593557346824</v>
      </c>
      <c r="AD71" s="104">
        <f t="shared" si="21"/>
        <v>29.788758001536095</v>
      </c>
      <c r="AE71" s="104">
        <f t="shared" si="21"/>
        <v>30.557172554530268</v>
      </c>
      <c r="AF71" s="104">
        <f t="shared" si="21"/>
        <v>31.346420668510138</v>
      </c>
      <c r="AG71" s="104">
        <f t="shared" si="21"/>
        <v>32.157103961661264</v>
      </c>
      <c r="AH71" s="104">
        <f t="shared" si="21"/>
        <v>32.989842838818731</v>
      </c>
      <c r="AI71" s="104">
        <f t="shared" si="21"/>
        <v>33.845277135685777</v>
      </c>
      <c r="AJ71" s="104">
        <f t="shared" si="21"/>
        <v>34.724066787629894</v>
      </c>
    </row>
    <row r="72" spans="1:36" s="21" customFormat="1" ht="15" outlineLevel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s="21" customFormat="1" ht="15" outlineLevel="1" x14ac:dyDescent="0.2">
      <c r="A73" s="89" t="s">
        <v>68</v>
      </c>
      <c r="B73"/>
      <c r="C73"/>
      <c r="D73"/>
      <c r="E73"/>
      <c r="F73"/>
      <c r="G73" s="218">
        <f>SUM(G58,G70)</f>
        <v>2843317.5000000005</v>
      </c>
      <c r="H73" s="218">
        <f t="shared" ref="H73:AJ73" si="22">SUM(H58,H70)</f>
        <v>2808573.4125000006</v>
      </c>
      <c r="I73" s="218">
        <f t="shared" si="22"/>
        <v>2773500.8850000007</v>
      </c>
      <c r="J73" s="218">
        <f t="shared" si="22"/>
        <v>2738093.3487</v>
      </c>
      <c r="K73" s="218">
        <f t="shared" si="22"/>
        <v>2702344.1034240006</v>
      </c>
      <c r="L73" s="218">
        <f t="shared" si="22"/>
        <v>2666246.3149924804</v>
      </c>
      <c r="M73" s="218">
        <f t="shared" si="22"/>
        <v>2629793.0125423302</v>
      </c>
      <c r="N73" s="218">
        <f t="shared" si="22"/>
        <v>2592977.0857931762</v>
      </c>
      <c r="O73" s="218">
        <f t="shared" si="22"/>
        <v>2555791.28225904</v>
      </c>
      <c r="P73" s="218">
        <f t="shared" si="22"/>
        <v>2518228.2044042209</v>
      </c>
      <c r="Q73" s="218">
        <f t="shared" si="22"/>
        <v>2480280.3067423054</v>
      </c>
      <c r="R73" s="218">
        <f t="shared" si="22"/>
        <v>2441939.8928771513</v>
      </c>
      <c r="S73" s="218">
        <f t="shared" si="22"/>
        <v>2403199.1124846945</v>
      </c>
      <c r="T73" s="218">
        <f t="shared" si="22"/>
        <v>2364049.9582343888</v>
      </c>
      <c r="U73" s="218">
        <f t="shared" si="22"/>
        <v>2324484.2626490761</v>
      </c>
      <c r="V73" s="218">
        <f t="shared" si="22"/>
        <v>2326888.5475592678</v>
      </c>
      <c r="W73" s="218">
        <f t="shared" si="22"/>
        <v>2287312.507260453</v>
      </c>
      <c r="X73" s="218">
        <f t="shared" si="22"/>
        <v>2247311.3879056619</v>
      </c>
      <c r="Y73" s="218">
        <f t="shared" si="22"/>
        <v>2206876.6879137754</v>
      </c>
      <c r="Z73" s="218">
        <f t="shared" si="22"/>
        <v>2165999.7356720511</v>
      </c>
      <c r="AA73" s="218">
        <f t="shared" si="22"/>
        <v>335338.69784662826</v>
      </c>
      <c r="AB73" s="218">
        <f t="shared" si="22"/>
        <v>301497.62180356076</v>
      </c>
      <c r="AC73" s="218">
        <f t="shared" si="22"/>
        <v>267156.01923963218</v>
      </c>
      <c r="AD73" s="218">
        <f t="shared" si="22"/>
        <v>232303.87962442497</v>
      </c>
      <c r="AE73" s="218">
        <f t="shared" si="22"/>
        <v>196930.99221691326</v>
      </c>
      <c r="AF73" s="218">
        <f t="shared" si="22"/>
        <v>161026.94206125126</v>
      </c>
      <c r="AG73" s="218">
        <f t="shared" si="22"/>
        <v>124581.10590247624</v>
      </c>
      <c r="AH73" s="218">
        <f t="shared" si="22"/>
        <v>87582.648020525929</v>
      </c>
      <c r="AI73" s="218">
        <f t="shared" si="22"/>
        <v>50020.515980936354</v>
      </c>
      <c r="AJ73" s="218">
        <f t="shared" si="22"/>
        <v>11883.436300555244</v>
      </c>
    </row>
    <row r="74" spans="1:36" s="21" customFormat="1" x14ac:dyDescent="0.15">
      <c r="A74" s="19"/>
      <c r="B74" s="19"/>
      <c r="C74" s="19"/>
      <c r="D74" s="20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</row>
    <row r="75" spans="1:36" s="38" customFormat="1" ht="18.75" customHeight="1" x14ac:dyDescent="0.2">
      <c r="A75" s="4" t="s">
        <v>69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customFormat="1" ht="18.75" customHeight="1" outlineLevel="1" x14ac:dyDescent="0.2"/>
    <row r="77" spans="1:36" s="26" customFormat="1" ht="16.5" customHeight="1" outlineLevel="1" x14ac:dyDescent="0.15">
      <c r="D77" s="27"/>
      <c r="E77" s="27"/>
    </row>
    <row r="78" spans="1:36" s="26" customFormat="1" ht="16.5" customHeight="1" outlineLevel="1" x14ac:dyDescent="0.15">
      <c r="A78" s="26" t="s">
        <v>78</v>
      </c>
      <c r="D78" s="27"/>
      <c r="E78" s="27"/>
      <c r="F78" s="127">
        <f>C12</f>
        <v>43831</v>
      </c>
      <c r="G78" s="127">
        <f>EOMONTH(F78,11)</f>
        <v>44196</v>
      </c>
      <c r="H78" s="127">
        <f>EOMONTH(G78,12)</f>
        <v>44561</v>
      </c>
      <c r="I78" s="127">
        <f t="shared" ref="I78:AJ78" si="23">EOMONTH(H78,12)</f>
        <v>44926</v>
      </c>
      <c r="J78" s="127">
        <f t="shared" si="23"/>
        <v>45291</v>
      </c>
      <c r="K78" s="127">
        <f t="shared" si="23"/>
        <v>45657</v>
      </c>
      <c r="L78" s="127">
        <f t="shared" si="23"/>
        <v>46022</v>
      </c>
      <c r="M78" s="127">
        <f t="shared" si="23"/>
        <v>46387</v>
      </c>
      <c r="N78" s="127">
        <f t="shared" si="23"/>
        <v>46752</v>
      </c>
      <c r="O78" s="127">
        <f t="shared" si="23"/>
        <v>47118</v>
      </c>
      <c r="P78" s="127">
        <f t="shared" si="23"/>
        <v>47483</v>
      </c>
      <c r="Q78" s="127">
        <f t="shared" si="23"/>
        <v>47848</v>
      </c>
      <c r="R78" s="127">
        <f t="shared" si="23"/>
        <v>48213</v>
      </c>
      <c r="S78" s="127">
        <f t="shared" si="23"/>
        <v>48579</v>
      </c>
      <c r="T78" s="127">
        <f t="shared" si="23"/>
        <v>48944</v>
      </c>
      <c r="U78" s="127">
        <f t="shared" si="23"/>
        <v>49309</v>
      </c>
      <c r="V78" s="127">
        <f t="shared" si="23"/>
        <v>49674</v>
      </c>
      <c r="W78" s="127">
        <f t="shared" si="23"/>
        <v>50040</v>
      </c>
      <c r="X78" s="127">
        <f t="shared" si="23"/>
        <v>50405</v>
      </c>
      <c r="Y78" s="127">
        <f t="shared" si="23"/>
        <v>50770</v>
      </c>
      <c r="Z78" s="127">
        <f t="shared" si="23"/>
        <v>51135</v>
      </c>
      <c r="AA78" s="127">
        <f t="shared" si="23"/>
        <v>51501</v>
      </c>
      <c r="AB78" s="127">
        <f t="shared" si="23"/>
        <v>51866</v>
      </c>
      <c r="AC78" s="127">
        <f t="shared" si="23"/>
        <v>52231</v>
      </c>
      <c r="AD78" s="127">
        <f t="shared" si="23"/>
        <v>52596</v>
      </c>
      <c r="AE78" s="127">
        <f t="shared" si="23"/>
        <v>52962</v>
      </c>
      <c r="AF78" s="127">
        <f t="shared" si="23"/>
        <v>53327</v>
      </c>
      <c r="AG78" s="127">
        <f t="shared" si="23"/>
        <v>53692</v>
      </c>
      <c r="AH78" s="127">
        <f t="shared" si="23"/>
        <v>54057</v>
      </c>
      <c r="AI78" s="127">
        <f t="shared" si="23"/>
        <v>54423</v>
      </c>
      <c r="AJ78" s="127">
        <f t="shared" si="23"/>
        <v>54788</v>
      </c>
    </row>
    <row r="79" spans="1:36" s="26" customFormat="1" ht="16.5" customHeight="1" outlineLevel="1" x14ac:dyDescent="0.15">
      <c r="A79" s="26" t="s">
        <v>70</v>
      </c>
      <c r="D79" s="27"/>
      <c r="E79" s="27"/>
      <c r="F79" s="27"/>
      <c r="G79" s="105">
        <f>G78-F78</f>
        <v>365</v>
      </c>
      <c r="H79" s="105">
        <f t="shared" ref="H79:AJ79" si="24">H78-G78</f>
        <v>365</v>
      </c>
      <c r="I79" s="105">
        <f t="shared" si="24"/>
        <v>365</v>
      </c>
      <c r="J79" s="105">
        <f t="shared" si="24"/>
        <v>365</v>
      </c>
      <c r="K79" s="105">
        <f t="shared" si="24"/>
        <v>366</v>
      </c>
      <c r="L79" s="105">
        <f t="shared" si="24"/>
        <v>365</v>
      </c>
      <c r="M79" s="105">
        <f t="shared" si="24"/>
        <v>365</v>
      </c>
      <c r="N79" s="105">
        <f t="shared" si="24"/>
        <v>365</v>
      </c>
      <c r="O79" s="105">
        <f t="shared" si="24"/>
        <v>366</v>
      </c>
      <c r="P79" s="105">
        <f t="shared" si="24"/>
        <v>365</v>
      </c>
      <c r="Q79" s="105">
        <f t="shared" si="24"/>
        <v>365</v>
      </c>
      <c r="R79" s="105">
        <f t="shared" si="24"/>
        <v>365</v>
      </c>
      <c r="S79" s="105">
        <f t="shared" si="24"/>
        <v>366</v>
      </c>
      <c r="T79" s="105">
        <f t="shared" si="24"/>
        <v>365</v>
      </c>
      <c r="U79" s="105">
        <f t="shared" si="24"/>
        <v>365</v>
      </c>
      <c r="V79" s="105">
        <f t="shared" si="24"/>
        <v>365</v>
      </c>
      <c r="W79" s="105">
        <f t="shared" si="24"/>
        <v>366</v>
      </c>
      <c r="X79" s="105">
        <f t="shared" si="24"/>
        <v>365</v>
      </c>
      <c r="Y79" s="105">
        <f t="shared" si="24"/>
        <v>365</v>
      </c>
      <c r="Z79" s="105">
        <f t="shared" si="24"/>
        <v>365</v>
      </c>
      <c r="AA79" s="105">
        <f t="shared" si="24"/>
        <v>366</v>
      </c>
      <c r="AB79" s="105">
        <f t="shared" si="24"/>
        <v>365</v>
      </c>
      <c r="AC79" s="105">
        <f t="shared" si="24"/>
        <v>365</v>
      </c>
      <c r="AD79" s="105">
        <f t="shared" si="24"/>
        <v>365</v>
      </c>
      <c r="AE79" s="105">
        <f t="shared" si="24"/>
        <v>366</v>
      </c>
      <c r="AF79" s="105">
        <f t="shared" si="24"/>
        <v>365</v>
      </c>
      <c r="AG79" s="105">
        <f t="shared" si="24"/>
        <v>365</v>
      </c>
      <c r="AH79" s="105">
        <f t="shared" si="24"/>
        <v>365</v>
      </c>
      <c r="AI79" s="105">
        <f t="shared" si="24"/>
        <v>366</v>
      </c>
      <c r="AJ79" s="105">
        <f t="shared" si="24"/>
        <v>365</v>
      </c>
    </row>
    <row r="80" spans="1:36" s="26" customFormat="1" ht="16.5" customHeight="1" outlineLevel="1" x14ac:dyDescent="0.15">
      <c r="D80" s="27"/>
      <c r="E80" s="27"/>
      <c r="F80" s="27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</row>
    <row r="81" spans="1:36" s="17" customFormat="1" ht="15" outlineLevel="1" x14ac:dyDescent="0.2">
      <c r="A81" s="89" t="str">
        <f>TEXT(F81,"")&amp;" EBITDA"</f>
        <v>P50 EBITDA</v>
      </c>
      <c r="B81" s="89"/>
      <c r="C81" s="89"/>
      <c r="D81" s="89"/>
      <c r="E81" s="89"/>
      <c r="F81" s="111" t="s">
        <v>28</v>
      </c>
      <c r="G81" s="112">
        <f t="shared" ref="G81:AJ81" si="25">G73</f>
        <v>2843317.5000000005</v>
      </c>
      <c r="H81" s="112">
        <f t="shared" si="25"/>
        <v>2808573.4125000006</v>
      </c>
      <c r="I81" s="112">
        <f t="shared" si="25"/>
        <v>2773500.8850000007</v>
      </c>
      <c r="J81" s="112">
        <f t="shared" si="25"/>
        <v>2738093.3487</v>
      </c>
      <c r="K81" s="112">
        <f t="shared" si="25"/>
        <v>2702344.1034240006</v>
      </c>
      <c r="L81" s="112">
        <f t="shared" si="25"/>
        <v>2666246.3149924804</v>
      </c>
      <c r="M81" s="112">
        <f t="shared" si="25"/>
        <v>2629793.0125423302</v>
      </c>
      <c r="N81" s="112">
        <f t="shared" si="25"/>
        <v>2592977.0857931762</v>
      </c>
      <c r="O81" s="112">
        <f t="shared" si="25"/>
        <v>2555791.28225904</v>
      </c>
      <c r="P81" s="112">
        <f t="shared" si="25"/>
        <v>2518228.2044042209</v>
      </c>
      <c r="Q81" s="112">
        <f t="shared" si="25"/>
        <v>2480280.3067423054</v>
      </c>
      <c r="R81" s="112">
        <f t="shared" si="25"/>
        <v>2441939.8928771513</v>
      </c>
      <c r="S81" s="112">
        <f t="shared" si="25"/>
        <v>2403199.1124846945</v>
      </c>
      <c r="T81" s="112">
        <f t="shared" si="25"/>
        <v>2364049.9582343888</v>
      </c>
      <c r="U81" s="112">
        <f t="shared" si="25"/>
        <v>2324484.2626490761</v>
      </c>
      <c r="V81" s="112">
        <f t="shared" si="25"/>
        <v>2326888.5475592678</v>
      </c>
      <c r="W81" s="112">
        <f t="shared" si="25"/>
        <v>2287312.507260453</v>
      </c>
      <c r="X81" s="112">
        <f t="shared" si="25"/>
        <v>2247311.3879056619</v>
      </c>
      <c r="Y81" s="112">
        <f t="shared" si="25"/>
        <v>2206876.6879137754</v>
      </c>
      <c r="Z81" s="112">
        <f t="shared" si="25"/>
        <v>2165999.7356720511</v>
      </c>
      <c r="AA81" s="112">
        <f t="shared" si="25"/>
        <v>335338.69784662826</v>
      </c>
      <c r="AB81" s="112">
        <f t="shared" si="25"/>
        <v>301497.62180356076</v>
      </c>
      <c r="AC81" s="112">
        <f t="shared" si="25"/>
        <v>267156.01923963218</v>
      </c>
      <c r="AD81" s="112">
        <f t="shared" si="25"/>
        <v>232303.87962442497</v>
      </c>
      <c r="AE81" s="112">
        <f t="shared" si="25"/>
        <v>196930.99221691326</v>
      </c>
      <c r="AF81" s="112">
        <f t="shared" si="25"/>
        <v>161026.94206125126</v>
      </c>
      <c r="AG81" s="112">
        <f t="shared" si="25"/>
        <v>124581.10590247624</v>
      </c>
      <c r="AH81" s="112">
        <f t="shared" si="25"/>
        <v>87582.648020525929</v>
      </c>
      <c r="AI81" s="112">
        <f t="shared" si="25"/>
        <v>50020.515980936354</v>
      </c>
      <c r="AJ81" s="112">
        <f t="shared" si="25"/>
        <v>11883.436300555244</v>
      </c>
    </row>
    <row r="82" spans="1:36" s="25" customFormat="1" ht="15" outlineLevel="1" x14ac:dyDescent="0.2">
      <c r="A82" s="89" t="str">
        <f>TEXT(F82,"")&amp;" EBITDA"</f>
        <v>P99 EBITDA</v>
      </c>
      <c r="B82" s="89"/>
      <c r="C82" s="89"/>
      <c r="D82" s="89"/>
      <c r="E82" s="89"/>
      <c r="F82" s="111" t="s">
        <v>29</v>
      </c>
      <c r="G82" s="112">
        <f t="dataTable" ref="G82:AJ82" dt2D="0" dtr="0" r1="G10" ca="1"/>
        <v>2385210.75</v>
      </c>
      <c r="H82" s="112">
        <v>2352757.19625</v>
      </c>
      <c r="I82" s="112">
        <v>2319975.2024999997</v>
      </c>
      <c r="J82" s="112">
        <v>2286858.1999500003</v>
      </c>
      <c r="K82" s="112">
        <v>2253399.4884240003</v>
      </c>
      <c r="L82" s="112">
        <v>2219592.2337424797</v>
      </c>
      <c r="M82" s="112">
        <v>2185429.4650423294</v>
      </c>
      <c r="N82" s="112">
        <v>2150904.0720431758</v>
      </c>
      <c r="O82" s="112">
        <v>2116008.8022590401</v>
      </c>
      <c r="P82" s="112">
        <v>2080736.2581542204</v>
      </c>
      <c r="Q82" s="112">
        <v>2045078.8942423048</v>
      </c>
      <c r="R82" s="112">
        <v>2009029.0141271511</v>
      </c>
      <c r="S82" s="112">
        <v>1972578.7674846936</v>
      </c>
      <c r="T82" s="112">
        <v>1935720.1469843886</v>
      </c>
      <c r="U82" s="112">
        <v>1898444.9851490757</v>
      </c>
      <c r="V82" s="112">
        <v>1903139.8038092677</v>
      </c>
      <c r="W82" s="112">
        <v>1865854.2972604528</v>
      </c>
      <c r="X82" s="112">
        <v>1828143.7116556612</v>
      </c>
      <c r="Y82" s="112">
        <v>1789999.5454137751</v>
      </c>
      <c r="Z82" s="112">
        <v>1751413.1269220507</v>
      </c>
      <c r="AA82" s="112">
        <v>136983.19784662826</v>
      </c>
      <c r="AB82" s="112">
        <v>104244.09680356039</v>
      </c>
      <c r="AC82" s="112">
        <v>71004.469239631668</v>
      </c>
      <c r="AD82" s="112">
        <v>37254.304624424782</v>
      </c>
      <c r="AE82" s="112">
        <v>2983.3922169129364</v>
      </c>
      <c r="AF82" s="112">
        <v>-31818.682938748971</v>
      </c>
      <c r="AG82" s="112">
        <v>-67162.544097523903</v>
      </c>
      <c r="AH82" s="112">
        <v>-103059.02697947412</v>
      </c>
      <c r="AI82" s="112">
        <v>-139519.18401906383</v>
      </c>
      <c r="AJ82" s="112">
        <v>-176554.28869944485</v>
      </c>
    </row>
    <row r="83" spans="1:36" s="17" customFormat="1" ht="15" outlineLevel="1" x14ac:dyDescent="0.2">
      <c r="A83" s="89"/>
      <c r="B83" s="89"/>
      <c r="C83" s="89"/>
      <c r="D83" s="89"/>
      <c r="E83" s="89"/>
      <c r="F83" s="111"/>
      <c r="G83" s="101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</row>
    <row r="84" spans="1:36" s="17" customFormat="1" ht="15" outlineLevel="1" x14ac:dyDescent="0.2">
      <c r="A84" s="89" t="str">
        <f>A81</f>
        <v>P50 EBITDA</v>
      </c>
      <c r="B84" s="89"/>
      <c r="C84" s="89"/>
      <c r="D84" s="89"/>
      <c r="E84" s="89"/>
      <c r="F84" s="111"/>
      <c r="G84" s="112">
        <f>IF(G$49&gt;$J$26,0,G81)</f>
        <v>2843317.5000000005</v>
      </c>
      <c r="H84" s="112">
        <f t="shared" ref="H84:AJ84" si="26">IF(H$49&gt;$J$26,0,H81)</f>
        <v>2808573.4125000006</v>
      </c>
      <c r="I84" s="112">
        <f t="shared" si="26"/>
        <v>2773500.8850000007</v>
      </c>
      <c r="J84" s="112">
        <f t="shared" si="26"/>
        <v>2738093.3487</v>
      </c>
      <c r="K84" s="112">
        <f t="shared" si="26"/>
        <v>2702344.1034240006</v>
      </c>
      <c r="L84" s="112">
        <f t="shared" si="26"/>
        <v>2666246.3149924804</v>
      </c>
      <c r="M84" s="112">
        <f t="shared" si="26"/>
        <v>2629793.0125423302</v>
      </c>
      <c r="N84" s="112">
        <f t="shared" si="26"/>
        <v>2592977.0857931762</v>
      </c>
      <c r="O84" s="112">
        <f t="shared" si="26"/>
        <v>2555791.28225904</v>
      </c>
      <c r="P84" s="112">
        <f t="shared" si="26"/>
        <v>2518228.2044042209</v>
      </c>
      <c r="Q84" s="112">
        <f t="shared" si="26"/>
        <v>2480280.3067423054</v>
      </c>
      <c r="R84" s="112">
        <f t="shared" si="26"/>
        <v>2441939.8928771513</v>
      </c>
      <c r="S84" s="112">
        <f t="shared" si="26"/>
        <v>2403199.1124846945</v>
      </c>
      <c r="T84" s="112">
        <f t="shared" si="26"/>
        <v>2364049.9582343888</v>
      </c>
      <c r="U84" s="112">
        <f t="shared" si="26"/>
        <v>2324484.2626490761</v>
      </c>
      <c r="V84" s="112">
        <f t="shared" si="26"/>
        <v>2326888.5475592678</v>
      </c>
      <c r="W84" s="112">
        <f t="shared" si="26"/>
        <v>2287312.507260453</v>
      </c>
      <c r="X84" s="112">
        <f t="shared" si="26"/>
        <v>2247311.3879056619</v>
      </c>
      <c r="Y84" s="112">
        <f t="shared" si="26"/>
        <v>2206876.6879137754</v>
      </c>
      <c r="Z84" s="112">
        <f t="shared" si="26"/>
        <v>0</v>
      </c>
      <c r="AA84" s="112">
        <f t="shared" si="26"/>
        <v>0</v>
      </c>
      <c r="AB84" s="112">
        <f t="shared" si="26"/>
        <v>0</v>
      </c>
      <c r="AC84" s="112">
        <f t="shared" si="26"/>
        <v>0</v>
      </c>
      <c r="AD84" s="112">
        <f t="shared" si="26"/>
        <v>0</v>
      </c>
      <c r="AE84" s="112">
        <f t="shared" si="26"/>
        <v>0</v>
      </c>
      <c r="AF84" s="112">
        <f t="shared" si="26"/>
        <v>0</v>
      </c>
      <c r="AG84" s="112">
        <f t="shared" si="26"/>
        <v>0</v>
      </c>
      <c r="AH84" s="112">
        <f t="shared" si="26"/>
        <v>0</v>
      </c>
      <c r="AI84" s="112">
        <f t="shared" si="26"/>
        <v>0</v>
      </c>
      <c r="AJ84" s="112">
        <f t="shared" si="26"/>
        <v>0</v>
      </c>
    </row>
    <row r="85" spans="1:36" s="17" customFormat="1" ht="15" outlineLevel="1" x14ac:dyDescent="0.2">
      <c r="A85" t="str">
        <f>TEXT(F81,"")&amp;" DSCR"</f>
        <v>P50 DSCR</v>
      </c>
      <c r="B85"/>
      <c r="C85"/>
      <c r="D85"/>
      <c r="E85"/>
      <c r="F85" s="108">
        <f>J32</f>
        <v>1.35</v>
      </c>
      <c r="G85" s="208">
        <f>$F$85</f>
        <v>1.35</v>
      </c>
      <c r="H85" s="208">
        <f t="shared" ref="H85:AJ85" si="27">$F$85</f>
        <v>1.35</v>
      </c>
      <c r="I85" s="208">
        <f t="shared" si="27"/>
        <v>1.35</v>
      </c>
      <c r="J85" s="208">
        <f t="shared" si="27"/>
        <v>1.35</v>
      </c>
      <c r="K85" s="208">
        <f t="shared" si="27"/>
        <v>1.35</v>
      </c>
      <c r="L85" s="208">
        <f t="shared" si="27"/>
        <v>1.35</v>
      </c>
      <c r="M85" s="208">
        <f t="shared" si="27"/>
        <v>1.35</v>
      </c>
      <c r="N85" s="208">
        <f t="shared" si="27"/>
        <v>1.35</v>
      </c>
      <c r="O85" s="208">
        <f t="shared" si="27"/>
        <v>1.35</v>
      </c>
      <c r="P85" s="208">
        <f t="shared" si="27"/>
        <v>1.35</v>
      </c>
      <c r="Q85" s="208">
        <f t="shared" si="27"/>
        <v>1.35</v>
      </c>
      <c r="R85" s="208">
        <f t="shared" si="27"/>
        <v>1.35</v>
      </c>
      <c r="S85" s="208">
        <f t="shared" si="27"/>
        <v>1.35</v>
      </c>
      <c r="T85" s="208">
        <f t="shared" si="27"/>
        <v>1.35</v>
      </c>
      <c r="U85" s="208">
        <f t="shared" si="27"/>
        <v>1.35</v>
      </c>
      <c r="V85" s="208">
        <f t="shared" si="27"/>
        <v>1.35</v>
      </c>
      <c r="W85" s="208">
        <f t="shared" si="27"/>
        <v>1.35</v>
      </c>
      <c r="X85" s="208">
        <f t="shared" si="27"/>
        <v>1.35</v>
      </c>
      <c r="Y85" s="208">
        <f t="shared" si="27"/>
        <v>1.35</v>
      </c>
      <c r="Z85" s="208">
        <f t="shared" si="27"/>
        <v>1.35</v>
      </c>
      <c r="AA85" s="208">
        <f t="shared" si="27"/>
        <v>1.35</v>
      </c>
      <c r="AB85" s="208">
        <f t="shared" si="27"/>
        <v>1.35</v>
      </c>
      <c r="AC85" s="208">
        <f t="shared" si="27"/>
        <v>1.35</v>
      </c>
      <c r="AD85" s="208">
        <f t="shared" si="27"/>
        <v>1.35</v>
      </c>
      <c r="AE85" s="208">
        <f t="shared" si="27"/>
        <v>1.35</v>
      </c>
      <c r="AF85" s="208">
        <f t="shared" si="27"/>
        <v>1.35</v>
      </c>
      <c r="AG85" s="208">
        <f t="shared" si="27"/>
        <v>1.35</v>
      </c>
      <c r="AH85" s="208">
        <f t="shared" si="27"/>
        <v>1.35</v>
      </c>
      <c r="AI85" s="208">
        <f t="shared" si="27"/>
        <v>1.35</v>
      </c>
      <c r="AJ85" s="208">
        <f t="shared" si="27"/>
        <v>1.35</v>
      </c>
    </row>
    <row r="86" spans="1:36" s="17" customFormat="1" ht="15" outlineLevel="1" x14ac:dyDescent="0.2">
      <c r="A86" t="s">
        <v>71</v>
      </c>
      <c r="B86"/>
      <c r="C86"/>
      <c r="D86"/>
      <c r="E86"/>
      <c r="F86" s="209">
        <v>0</v>
      </c>
      <c r="G86" s="109">
        <f>G84/G85</f>
        <v>2106161.1111111115</v>
      </c>
      <c r="H86" s="109">
        <f t="shared" ref="H86:AJ86" si="28">H84/H85</f>
        <v>2080424.7500000002</v>
      </c>
      <c r="I86" s="109">
        <f t="shared" si="28"/>
        <v>2054445.1000000003</v>
      </c>
      <c r="J86" s="109">
        <f t="shared" si="28"/>
        <v>2028217.2953333331</v>
      </c>
      <c r="K86" s="109">
        <f t="shared" si="28"/>
        <v>2001736.3729066669</v>
      </c>
      <c r="L86" s="109">
        <f t="shared" si="28"/>
        <v>1974997.2703648002</v>
      </c>
      <c r="M86" s="109">
        <f t="shared" si="28"/>
        <v>1947994.8241054297</v>
      </c>
      <c r="N86" s="109">
        <f t="shared" si="28"/>
        <v>1920723.7672542045</v>
      </c>
      <c r="O86" s="109">
        <f t="shared" si="28"/>
        <v>1893178.7275992888</v>
      </c>
      <c r="P86" s="109">
        <f t="shared" si="28"/>
        <v>1865354.225484608</v>
      </c>
      <c r="Q86" s="109">
        <f t="shared" si="28"/>
        <v>1837244.6716609669</v>
      </c>
      <c r="R86" s="109">
        <f t="shared" si="28"/>
        <v>1808844.365094186</v>
      </c>
      <c r="S86" s="109">
        <f t="shared" si="28"/>
        <v>1780147.4907294032</v>
      </c>
      <c r="T86" s="109">
        <f t="shared" si="28"/>
        <v>1751148.1172106583</v>
      </c>
      <c r="U86" s="109">
        <f t="shared" si="28"/>
        <v>1721840.1945548709</v>
      </c>
      <c r="V86" s="109">
        <f t="shared" si="28"/>
        <v>1723621.1463401983</v>
      </c>
      <c r="W86" s="109">
        <f t="shared" si="28"/>
        <v>1694305.5609336686</v>
      </c>
      <c r="X86" s="109">
        <f t="shared" si="28"/>
        <v>1664675.102152342</v>
      </c>
      <c r="Y86" s="109">
        <f t="shared" si="28"/>
        <v>1634723.4725287224</v>
      </c>
      <c r="Z86" s="109">
        <f t="shared" si="28"/>
        <v>0</v>
      </c>
      <c r="AA86" s="109">
        <f t="shared" si="28"/>
        <v>0</v>
      </c>
      <c r="AB86" s="109">
        <f t="shared" si="28"/>
        <v>0</v>
      </c>
      <c r="AC86" s="109">
        <f t="shared" si="28"/>
        <v>0</v>
      </c>
      <c r="AD86" s="109">
        <f t="shared" si="28"/>
        <v>0</v>
      </c>
      <c r="AE86" s="109">
        <f t="shared" si="28"/>
        <v>0</v>
      </c>
      <c r="AF86" s="109">
        <f t="shared" si="28"/>
        <v>0</v>
      </c>
      <c r="AG86" s="109">
        <f t="shared" si="28"/>
        <v>0</v>
      </c>
      <c r="AH86" s="109">
        <f t="shared" si="28"/>
        <v>0</v>
      </c>
      <c r="AI86" s="109">
        <f t="shared" si="28"/>
        <v>0</v>
      </c>
      <c r="AJ86" s="109">
        <f t="shared" si="28"/>
        <v>0</v>
      </c>
    </row>
    <row r="87" spans="1:36" s="17" customFormat="1" ht="15" outlineLevel="1" x14ac:dyDescent="0.2">
      <c r="A87" t="s">
        <v>72</v>
      </c>
      <c r="B87"/>
      <c r="C87"/>
      <c r="D87"/>
      <c r="E87"/>
      <c r="F87"/>
      <c r="G87" s="211">
        <f>-G100</f>
        <v>-1100625.8466019882</v>
      </c>
      <c r="H87" s="211">
        <f t="shared" ref="H87:AJ87" si="29">-H100</f>
        <v>-1053868.4568023139</v>
      </c>
      <c r="I87" s="211">
        <f t="shared" si="29"/>
        <v>-1006133.5891686215</v>
      </c>
      <c r="J87" s="211">
        <f t="shared" si="29"/>
        <v>-957387.10391496238</v>
      </c>
      <c r="K87" s="211">
        <f t="shared" si="29"/>
        <v>-910080.05754829303</v>
      </c>
      <c r="L87" s="211">
        <f t="shared" si="29"/>
        <v>-856831.48134984367</v>
      </c>
      <c r="M87" s="211">
        <f t="shared" si="29"/>
        <v>-804836.77216064814</v>
      </c>
      <c r="N87" s="211">
        <f t="shared" si="29"/>
        <v>-751679.92274521594</v>
      </c>
      <c r="O87" s="211">
        <f t="shared" si="29"/>
        <v>-699229.84804123431</v>
      </c>
      <c r="P87" s="211">
        <f t="shared" si="29"/>
        <v>-641800.76107609831</v>
      </c>
      <c r="Q87" s="211">
        <f t="shared" si="29"/>
        <v>-584905.52498110267</v>
      </c>
      <c r="R87" s="211">
        <f t="shared" si="29"/>
        <v>-526671.75466048892</v>
      </c>
      <c r="S87" s="211">
        <f t="shared" si="29"/>
        <v>-468330.31931169279</v>
      </c>
      <c r="T87" s="211">
        <f t="shared" si="29"/>
        <v>-406051.22980439861</v>
      </c>
      <c r="U87" s="211">
        <f t="shared" si="29"/>
        <v>-343504.22454000748</v>
      </c>
      <c r="V87" s="211">
        <f t="shared" si="29"/>
        <v>-279411.60193431634</v>
      </c>
      <c r="W87" s="211">
        <f t="shared" si="29"/>
        <v>-212837.38101840019</v>
      </c>
      <c r="X87" s="211">
        <f t="shared" si="29"/>
        <v>-143367.5877533828</v>
      </c>
      <c r="Y87" s="211">
        <f t="shared" si="29"/>
        <v>-72626.788333831195</v>
      </c>
      <c r="Z87" s="211">
        <f t="shared" si="29"/>
        <v>0</v>
      </c>
      <c r="AA87" s="211">
        <f t="shared" si="29"/>
        <v>0</v>
      </c>
      <c r="AB87" s="211">
        <f t="shared" si="29"/>
        <v>0</v>
      </c>
      <c r="AC87" s="211">
        <f t="shared" si="29"/>
        <v>0</v>
      </c>
      <c r="AD87" s="211">
        <f t="shared" si="29"/>
        <v>0</v>
      </c>
      <c r="AE87" s="211">
        <f t="shared" si="29"/>
        <v>0</v>
      </c>
      <c r="AF87" s="211">
        <f t="shared" si="29"/>
        <v>0</v>
      </c>
      <c r="AG87" s="211">
        <f t="shared" si="29"/>
        <v>0</v>
      </c>
      <c r="AH87" s="211">
        <f t="shared" si="29"/>
        <v>0</v>
      </c>
      <c r="AI87" s="211">
        <f t="shared" si="29"/>
        <v>0</v>
      </c>
      <c r="AJ87" s="211">
        <f t="shared" si="29"/>
        <v>0</v>
      </c>
    </row>
    <row r="88" spans="1:36" s="21" customFormat="1" ht="15" outlineLevel="1" x14ac:dyDescent="0.2">
      <c r="A88" t="s">
        <v>73</v>
      </c>
      <c r="B88"/>
      <c r="C88"/>
      <c r="D88"/>
      <c r="E88"/>
      <c r="F88"/>
      <c r="G88" s="110">
        <f>G86+G87</f>
        <v>1005535.2645091233</v>
      </c>
      <c r="H88" s="110">
        <f t="shared" ref="H88:AJ88" si="30">H86+H87</f>
        <v>1026556.2931976863</v>
      </c>
      <c r="I88" s="110">
        <f t="shared" si="30"/>
        <v>1048311.5108313789</v>
      </c>
      <c r="J88" s="110">
        <f t="shared" si="30"/>
        <v>1070830.1914183707</v>
      </c>
      <c r="K88" s="110">
        <f t="shared" si="30"/>
        <v>1091656.3153583738</v>
      </c>
      <c r="L88" s="110">
        <f t="shared" si="30"/>
        <v>1118165.7890149564</v>
      </c>
      <c r="M88" s="110">
        <f t="shared" si="30"/>
        <v>1143158.0519447816</v>
      </c>
      <c r="N88" s="110">
        <f t="shared" si="30"/>
        <v>1169043.8445089885</v>
      </c>
      <c r="O88" s="110">
        <f t="shared" si="30"/>
        <v>1193948.8795580545</v>
      </c>
      <c r="P88" s="110">
        <f t="shared" si="30"/>
        <v>1223553.4644085097</v>
      </c>
      <c r="Q88" s="110">
        <f t="shared" si="30"/>
        <v>1252339.1466798643</v>
      </c>
      <c r="R88" s="110">
        <f t="shared" si="30"/>
        <v>1282172.6104336972</v>
      </c>
      <c r="S88" s="110">
        <f t="shared" si="30"/>
        <v>1311817.1714177104</v>
      </c>
      <c r="T88" s="110">
        <f t="shared" si="30"/>
        <v>1345096.8874062598</v>
      </c>
      <c r="U88" s="110">
        <f t="shared" si="30"/>
        <v>1378335.9700148634</v>
      </c>
      <c r="V88" s="110">
        <f t="shared" si="30"/>
        <v>1444209.544405882</v>
      </c>
      <c r="W88" s="110">
        <f t="shared" si="30"/>
        <v>1481468.1799152684</v>
      </c>
      <c r="X88" s="110">
        <f t="shared" si="30"/>
        <v>1521307.5143989592</v>
      </c>
      <c r="Y88" s="110">
        <f t="shared" si="30"/>
        <v>1562096.6841948912</v>
      </c>
      <c r="Z88" s="110">
        <f t="shared" si="30"/>
        <v>0</v>
      </c>
      <c r="AA88" s="110">
        <f t="shared" si="30"/>
        <v>0</v>
      </c>
      <c r="AB88" s="110">
        <f t="shared" si="30"/>
        <v>0</v>
      </c>
      <c r="AC88" s="110">
        <f t="shared" si="30"/>
        <v>0</v>
      </c>
      <c r="AD88" s="110">
        <f t="shared" si="30"/>
        <v>0</v>
      </c>
      <c r="AE88" s="110">
        <f t="shared" si="30"/>
        <v>0</v>
      </c>
      <c r="AF88" s="110">
        <f t="shared" si="30"/>
        <v>0</v>
      </c>
      <c r="AG88" s="110">
        <f t="shared" si="30"/>
        <v>0</v>
      </c>
      <c r="AH88" s="110">
        <f t="shared" si="30"/>
        <v>0</v>
      </c>
      <c r="AI88" s="110">
        <f t="shared" si="30"/>
        <v>0</v>
      </c>
      <c r="AJ88" s="110">
        <f t="shared" si="30"/>
        <v>0</v>
      </c>
    </row>
    <row r="89" spans="1:36" s="25" customFormat="1" ht="15" outlineLevel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6" ht="15" outlineLevel="1" x14ac:dyDescent="0.2">
      <c r="A90" s="10" t="str">
        <f>A82</f>
        <v>P99 EBITDA</v>
      </c>
      <c r="G90" s="112">
        <f>IF(G$49&gt;$J$26,0,G82)</f>
        <v>2385210.75</v>
      </c>
      <c r="H90" s="112">
        <f t="shared" ref="H90:AJ90" si="31">IF(H$49&gt;$J$26,0,H82)</f>
        <v>2352757.19625</v>
      </c>
      <c r="I90" s="112">
        <f t="shared" si="31"/>
        <v>2319975.2024999997</v>
      </c>
      <c r="J90" s="112">
        <f t="shared" si="31"/>
        <v>2286858.1999500003</v>
      </c>
      <c r="K90" s="112">
        <f t="shared" si="31"/>
        <v>2253399.4884240003</v>
      </c>
      <c r="L90" s="112">
        <f t="shared" si="31"/>
        <v>2219592.2337424797</v>
      </c>
      <c r="M90" s="112">
        <f t="shared" si="31"/>
        <v>2185429.4650423294</v>
      </c>
      <c r="N90" s="112">
        <f t="shared" si="31"/>
        <v>2150904.0720431758</v>
      </c>
      <c r="O90" s="112">
        <f t="shared" si="31"/>
        <v>2116008.8022590401</v>
      </c>
      <c r="P90" s="112">
        <f t="shared" si="31"/>
        <v>2080736.2581542204</v>
      </c>
      <c r="Q90" s="112">
        <f t="shared" si="31"/>
        <v>2045078.8942423048</v>
      </c>
      <c r="R90" s="112">
        <f t="shared" si="31"/>
        <v>2009029.0141271511</v>
      </c>
      <c r="S90" s="112">
        <f t="shared" si="31"/>
        <v>1972578.7674846936</v>
      </c>
      <c r="T90" s="112">
        <f t="shared" si="31"/>
        <v>1935720.1469843886</v>
      </c>
      <c r="U90" s="112">
        <f t="shared" si="31"/>
        <v>1898444.9851490757</v>
      </c>
      <c r="V90" s="112">
        <f t="shared" si="31"/>
        <v>1903139.8038092677</v>
      </c>
      <c r="W90" s="112">
        <f t="shared" si="31"/>
        <v>1865854.2972604528</v>
      </c>
      <c r="X90" s="112">
        <f t="shared" si="31"/>
        <v>1828143.7116556612</v>
      </c>
      <c r="Y90" s="112">
        <f t="shared" si="31"/>
        <v>1789999.5454137751</v>
      </c>
      <c r="Z90" s="112">
        <f t="shared" si="31"/>
        <v>0</v>
      </c>
      <c r="AA90" s="112">
        <f t="shared" si="31"/>
        <v>0</v>
      </c>
      <c r="AB90" s="112">
        <f t="shared" si="31"/>
        <v>0</v>
      </c>
      <c r="AC90" s="112">
        <f t="shared" si="31"/>
        <v>0</v>
      </c>
      <c r="AD90" s="112">
        <f t="shared" si="31"/>
        <v>0</v>
      </c>
      <c r="AE90" s="112">
        <f t="shared" si="31"/>
        <v>0</v>
      </c>
      <c r="AF90" s="112">
        <f t="shared" si="31"/>
        <v>0</v>
      </c>
      <c r="AG90" s="112">
        <f t="shared" si="31"/>
        <v>0</v>
      </c>
      <c r="AH90" s="112">
        <f t="shared" si="31"/>
        <v>0</v>
      </c>
      <c r="AI90" s="112">
        <f t="shared" si="31"/>
        <v>0</v>
      </c>
      <c r="AJ90" s="112">
        <f t="shared" si="31"/>
        <v>0</v>
      </c>
    </row>
    <row r="91" spans="1:36" s="17" customFormat="1" ht="15" outlineLevel="1" x14ac:dyDescent="0.2">
      <c r="A91" t="str">
        <f>TEXT(F82,"")&amp;" DSCR"</f>
        <v>P99 DSCR</v>
      </c>
      <c r="B91"/>
      <c r="C91"/>
      <c r="D91"/>
      <c r="E91"/>
      <c r="F91" s="108">
        <f>J33</f>
        <v>1</v>
      </c>
      <c r="G91" s="208">
        <f>$F$91</f>
        <v>1</v>
      </c>
      <c r="H91" s="208">
        <f t="shared" ref="H91:AJ91" si="32">$F$91</f>
        <v>1</v>
      </c>
      <c r="I91" s="208">
        <f t="shared" si="32"/>
        <v>1</v>
      </c>
      <c r="J91" s="208">
        <f t="shared" si="32"/>
        <v>1</v>
      </c>
      <c r="K91" s="208">
        <f t="shared" si="32"/>
        <v>1</v>
      </c>
      <c r="L91" s="208">
        <f t="shared" si="32"/>
        <v>1</v>
      </c>
      <c r="M91" s="208">
        <f t="shared" si="32"/>
        <v>1</v>
      </c>
      <c r="N91" s="208">
        <f t="shared" si="32"/>
        <v>1</v>
      </c>
      <c r="O91" s="208">
        <f t="shared" si="32"/>
        <v>1</v>
      </c>
      <c r="P91" s="208">
        <f t="shared" si="32"/>
        <v>1</v>
      </c>
      <c r="Q91" s="208">
        <f t="shared" si="32"/>
        <v>1</v>
      </c>
      <c r="R91" s="208">
        <f t="shared" si="32"/>
        <v>1</v>
      </c>
      <c r="S91" s="208">
        <f t="shared" si="32"/>
        <v>1</v>
      </c>
      <c r="T91" s="208">
        <f t="shared" si="32"/>
        <v>1</v>
      </c>
      <c r="U91" s="208">
        <f t="shared" si="32"/>
        <v>1</v>
      </c>
      <c r="V91" s="208">
        <f t="shared" si="32"/>
        <v>1</v>
      </c>
      <c r="W91" s="208">
        <f t="shared" si="32"/>
        <v>1</v>
      </c>
      <c r="X91" s="208">
        <f t="shared" si="32"/>
        <v>1</v>
      </c>
      <c r="Y91" s="208">
        <f t="shared" si="32"/>
        <v>1</v>
      </c>
      <c r="Z91" s="208">
        <f t="shared" si="32"/>
        <v>1</v>
      </c>
      <c r="AA91" s="208">
        <f t="shared" si="32"/>
        <v>1</v>
      </c>
      <c r="AB91" s="208">
        <f t="shared" si="32"/>
        <v>1</v>
      </c>
      <c r="AC91" s="208">
        <f t="shared" si="32"/>
        <v>1</v>
      </c>
      <c r="AD91" s="208">
        <f t="shared" si="32"/>
        <v>1</v>
      </c>
      <c r="AE91" s="208">
        <f t="shared" si="32"/>
        <v>1</v>
      </c>
      <c r="AF91" s="208">
        <f t="shared" si="32"/>
        <v>1</v>
      </c>
      <c r="AG91" s="208">
        <f t="shared" si="32"/>
        <v>1</v>
      </c>
      <c r="AH91" s="208">
        <f t="shared" si="32"/>
        <v>1</v>
      </c>
      <c r="AI91" s="208">
        <f t="shared" si="32"/>
        <v>1</v>
      </c>
      <c r="AJ91" s="208">
        <f t="shared" si="32"/>
        <v>1</v>
      </c>
    </row>
    <row r="92" spans="1:36" s="17" customFormat="1" ht="15" outlineLevel="1" x14ac:dyDescent="0.2">
      <c r="A92" t="s">
        <v>71</v>
      </c>
      <c r="B92"/>
      <c r="C92"/>
      <c r="D92"/>
      <c r="E92"/>
      <c r="F92" s="210">
        <v>0</v>
      </c>
      <c r="G92" s="109">
        <f>G90/G91</f>
        <v>2385210.75</v>
      </c>
      <c r="H92" s="109">
        <f t="shared" ref="H92:AJ92" si="33">H90/H91</f>
        <v>2352757.19625</v>
      </c>
      <c r="I92" s="109">
        <f t="shared" si="33"/>
        <v>2319975.2024999997</v>
      </c>
      <c r="J92" s="109">
        <f t="shared" si="33"/>
        <v>2286858.1999500003</v>
      </c>
      <c r="K92" s="109">
        <f t="shared" si="33"/>
        <v>2253399.4884240003</v>
      </c>
      <c r="L92" s="109">
        <f t="shared" si="33"/>
        <v>2219592.2337424797</v>
      </c>
      <c r="M92" s="109">
        <f t="shared" si="33"/>
        <v>2185429.4650423294</v>
      </c>
      <c r="N92" s="109">
        <f t="shared" si="33"/>
        <v>2150904.0720431758</v>
      </c>
      <c r="O92" s="109">
        <f t="shared" si="33"/>
        <v>2116008.8022590401</v>
      </c>
      <c r="P92" s="109">
        <f t="shared" si="33"/>
        <v>2080736.2581542204</v>
      </c>
      <c r="Q92" s="109">
        <f t="shared" si="33"/>
        <v>2045078.8942423048</v>
      </c>
      <c r="R92" s="109">
        <f t="shared" si="33"/>
        <v>2009029.0141271511</v>
      </c>
      <c r="S92" s="109">
        <f t="shared" si="33"/>
        <v>1972578.7674846936</v>
      </c>
      <c r="T92" s="109">
        <f t="shared" si="33"/>
        <v>1935720.1469843886</v>
      </c>
      <c r="U92" s="109">
        <f t="shared" si="33"/>
        <v>1898444.9851490757</v>
      </c>
      <c r="V92" s="109">
        <f t="shared" si="33"/>
        <v>1903139.8038092677</v>
      </c>
      <c r="W92" s="109">
        <f t="shared" si="33"/>
        <v>1865854.2972604528</v>
      </c>
      <c r="X92" s="109">
        <f t="shared" si="33"/>
        <v>1828143.7116556612</v>
      </c>
      <c r="Y92" s="109">
        <f t="shared" si="33"/>
        <v>1789999.5454137751</v>
      </c>
      <c r="Z92" s="109">
        <f t="shared" si="33"/>
        <v>0</v>
      </c>
      <c r="AA92" s="109">
        <f t="shared" si="33"/>
        <v>0</v>
      </c>
      <c r="AB92" s="109">
        <f t="shared" si="33"/>
        <v>0</v>
      </c>
      <c r="AC92" s="109">
        <f t="shared" si="33"/>
        <v>0</v>
      </c>
      <c r="AD92" s="109">
        <f t="shared" si="33"/>
        <v>0</v>
      </c>
      <c r="AE92" s="109">
        <f t="shared" si="33"/>
        <v>0</v>
      </c>
      <c r="AF92" s="109">
        <f t="shared" si="33"/>
        <v>0</v>
      </c>
      <c r="AG92" s="109">
        <f t="shared" si="33"/>
        <v>0</v>
      </c>
      <c r="AH92" s="109">
        <f t="shared" si="33"/>
        <v>0</v>
      </c>
      <c r="AI92" s="109">
        <f t="shared" si="33"/>
        <v>0</v>
      </c>
      <c r="AJ92" s="109">
        <f t="shared" si="33"/>
        <v>0</v>
      </c>
    </row>
    <row r="93" spans="1:36" s="17" customFormat="1" ht="15" outlineLevel="1" x14ac:dyDescent="0.2">
      <c r="A93" t="s">
        <v>72</v>
      </c>
      <c r="B93"/>
      <c r="C93"/>
      <c r="D93"/>
      <c r="E93"/>
      <c r="F93"/>
      <c r="G93" s="211">
        <f>-G100</f>
        <v>-1100625.8466019882</v>
      </c>
      <c r="H93" s="211">
        <f t="shared" ref="H93:AJ93" si="34">-H100</f>
        <v>-1053868.4568023139</v>
      </c>
      <c r="I93" s="211">
        <f t="shared" si="34"/>
        <v>-1006133.5891686215</v>
      </c>
      <c r="J93" s="211">
        <f t="shared" si="34"/>
        <v>-957387.10391496238</v>
      </c>
      <c r="K93" s="211">
        <f t="shared" si="34"/>
        <v>-910080.05754829303</v>
      </c>
      <c r="L93" s="211">
        <f t="shared" si="34"/>
        <v>-856831.48134984367</v>
      </c>
      <c r="M93" s="211">
        <f t="shared" si="34"/>
        <v>-804836.77216064814</v>
      </c>
      <c r="N93" s="211">
        <f t="shared" si="34"/>
        <v>-751679.92274521594</v>
      </c>
      <c r="O93" s="211">
        <f t="shared" si="34"/>
        <v>-699229.84804123431</v>
      </c>
      <c r="P93" s="211">
        <f t="shared" si="34"/>
        <v>-641800.76107609831</v>
      </c>
      <c r="Q93" s="211">
        <f t="shared" si="34"/>
        <v>-584905.52498110267</v>
      </c>
      <c r="R93" s="211">
        <f t="shared" si="34"/>
        <v>-526671.75466048892</v>
      </c>
      <c r="S93" s="211">
        <f t="shared" si="34"/>
        <v>-468330.31931169279</v>
      </c>
      <c r="T93" s="211">
        <f t="shared" si="34"/>
        <v>-406051.22980439861</v>
      </c>
      <c r="U93" s="211">
        <f t="shared" si="34"/>
        <v>-343504.22454000748</v>
      </c>
      <c r="V93" s="211">
        <f t="shared" si="34"/>
        <v>-279411.60193431634</v>
      </c>
      <c r="W93" s="211">
        <f t="shared" si="34"/>
        <v>-212837.38101840019</v>
      </c>
      <c r="X93" s="211">
        <f t="shared" si="34"/>
        <v>-143367.5877533828</v>
      </c>
      <c r="Y93" s="211">
        <f t="shared" si="34"/>
        <v>-72626.788333831195</v>
      </c>
      <c r="Z93" s="211">
        <f t="shared" si="34"/>
        <v>0</v>
      </c>
      <c r="AA93" s="211">
        <f t="shared" si="34"/>
        <v>0</v>
      </c>
      <c r="AB93" s="211">
        <f t="shared" si="34"/>
        <v>0</v>
      </c>
      <c r="AC93" s="211">
        <f t="shared" si="34"/>
        <v>0</v>
      </c>
      <c r="AD93" s="211">
        <f t="shared" si="34"/>
        <v>0</v>
      </c>
      <c r="AE93" s="211">
        <f t="shared" si="34"/>
        <v>0</v>
      </c>
      <c r="AF93" s="211">
        <f t="shared" si="34"/>
        <v>0</v>
      </c>
      <c r="AG93" s="211">
        <f t="shared" si="34"/>
        <v>0</v>
      </c>
      <c r="AH93" s="211">
        <f t="shared" si="34"/>
        <v>0</v>
      </c>
      <c r="AI93" s="211">
        <f t="shared" si="34"/>
        <v>0</v>
      </c>
      <c r="AJ93" s="211">
        <f t="shared" si="34"/>
        <v>0</v>
      </c>
    </row>
    <row r="94" spans="1:36" s="25" customFormat="1" ht="15" outlineLevel="1" x14ac:dyDescent="0.2">
      <c r="A94" t="s">
        <v>73</v>
      </c>
      <c r="B94"/>
      <c r="C94"/>
      <c r="D94"/>
      <c r="E94"/>
      <c r="F94"/>
      <c r="G94" s="110">
        <f>G92+G93</f>
        <v>1284584.9033980118</v>
      </c>
      <c r="H94" s="110">
        <f t="shared" ref="H94:AJ94" si="35">H92+H93</f>
        <v>1298888.7394476861</v>
      </c>
      <c r="I94" s="110">
        <f t="shared" si="35"/>
        <v>1313841.6133313782</v>
      </c>
      <c r="J94" s="110">
        <f t="shared" si="35"/>
        <v>1329471.0960350379</v>
      </c>
      <c r="K94" s="110">
        <f t="shared" si="35"/>
        <v>1343319.4308757074</v>
      </c>
      <c r="L94" s="110">
        <f t="shared" si="35"/>
        <v>1362760.7523926361</v>
      </c>
      <c r="M94" s="110">
        <f t="shared" si="35"/>
        <v>1380592.6928816813</v>
      </c>
      <c r="N94" s="110">
        <f t="shared" si="35"/>
        <v>1399224.1492979599</v>
      </c>
      <c r="O94" s="110">
        <f t="shared" si="35"/>
        <v>1416778.9542178058</v>
      </c>
      <c r="P94" s="110">
        <f t="shared" si="35"/>
        <v>1438935.4970781221</v>
      </c>
      <c r="Q94" s="110">
        <f t="shared" si="35"/>
        <v>1460173.3692612022</v>
      </c>
      <c r="R94" s="110">
        <f t="shared" si="35"/>
        <v>1482357.2594666621</v>
      </c>
      <c r="S94" s="110">
        <f t="shared" si="35"/>
        <v>1504248.4481730007</v>
      </c>
      <c r="T94" s="110">
        <f t="shared" si="35"/>
        <v>1529668.9171799901</v>
      </c>
      <c r="U94" s="110">
        <f t="shared" si="35"/>
        <v>1554940.7606090682</v>
      </c>
      <c r="V94" s="110">
        <f t="shared" si="35"/>
        <v>1623728.2018749514</v>
      </c>
      <c r="W94" s="110">
        <f t="shared" si="35"/>
        <v>1653016.9162420526</v>
      </c>
      <c r="X94" s="110">
        <f t="shared" si="35"/>
        <v>1684776.1239022785</v>
      </c>
      <c r="Y94" s="110">
        <f t="shared" si="35"/>
        <v>1717372.757079944</v>
      </c>
      <c r="Z94" s="110">
        <f t="shared" si="35"/>
        <v>0</v>
      </c>
      <c r="AA94" s="110">
        <f t="shared" si="35"/>
        <v>0</v>
      </c>
      <c r="AB94" s="110">
        <f t="shared" si="35"/>
        <v>0</v>
      </c>
      <c r="AC94" s="110">
        <f t="shared" si="35"/>
        <v>0</v>
      </c>
      <c r="AD94" s="110">
        <f t="shared" si="35"/>
        <v>0</v>
      </c>
      <c r="AE94" s="110">
        <f t="shared" si="35"/>
        <v>0</v>
      </c>
      <c r="AF94" s="110">
        <f t="shared" si="35"/>
        <v>0</v>
      </c>
      <c r="AG94" s="110">
        <f t="shared" si="35"/>
        <v>0</v>
      </c>
      <c r="AH94" s="110">
        <f t="shared" si="35"/>
        <v>0</v>
      </c>
      <c r="AI94" s="110">
        <f t="shared" si="35"/>
        <v>0</v>
      </c>
      <c r="AJ94" s="110">
        <f t="shared" si="35"/>
        <v>0</v>
      </c>
    </row>
    <row r="95" spans="1:36" s="25" customFormat="1" ht="15" outlineLevel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s="21" customFormat="1" ht="15" outlineLevel="1" x14ac:dyDescent="0.2">
      <c r="A96" t="str">
        <f>"Maximum Sizing at "&amp;TEXT(J27,"#.#0%")&amp;" percent of capex"</f>
        <v>Maximum Sizing at 85.0% percent of capex</v>
      </c>
      <c r="B96"/>
      <c r="C96"/>
      <c r="D96"/>
      <c r="E96"/>
      <c r="F96" s="125">
        <f>J27*K21</f>
        <v>25957874.426800173</v>
      </c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s="21" customFormat="1" ht="15" outlineLevel="1" x14ac:dyDescent="0.2">
      <c r="A97" t="s">
        <v>77</v>
      </c>
      <c r="B97"/>
      <c r="C97"/>
      <c r="D97"/>
      <c r="E97"/>
      <c r="F97" s="126">
        <f>MIN(XNPV($J$31,$F$86:$AJ$86,$F$78:$AJ$78),XNPV($J$31,$F$92:$AJ$92,$F$78:$AJ$78))</f>
        <v>23669373.045204047</v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s="21" customFormat="1" ht="15" outlineLevel="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s="21" customFormat="1" ht="15" outlineLevel="1" x14ac:dyDescent="0.2">
      <c r="A99" t="s">
        <v>74</v>
      </c>
      <c r="B99"/>
      <c r="C99"/>
      <c r="D99"/>
      <c r="E99"/>
      <c r="F99"/>
      <c r="G99" s="114">
        <f>MIN(F96,F97)</f>
        <v>23669373.045204047</v>
      </c>
      <c r="H99" s="110">
        <f>G102</f>
        <v>22663837.780694924</v>
      </c>
      <c r="I99" s="110">
        <f t="shared" ref="I99:AJ99" si="36">H102</f>
        <v>21637281.487497237</v>
      </c>
      <c r="J99" s="110">
        <f t="shared" si="36"/>
        <v>20588969.976665858</v>
      </c>
      <c r="K99" s="110">
        <f t="shared" si="36"/>
        <v>19518139.785247486</v>
      </c>
      <c r="L99" s="110">
        <f t="shared" si="36"/>
        <v>18426483.469889112</v>
      </c>
      <c r="M99" s="110">
        <f t="shared" si="36"/>
        <v>17308317.680874154</v>
      </c>
      <c r="N99" s="110">
        <f t="shared" si="36"/>
        <v>16165159.628929373</v>
      </c>
      <c r="O99" s="110">
        <f t="shared" si="36"/>
        <v>14996115.784420384</v>
      </c>
      <c r="P99" s="110">
        <f t="shared" si="36"/>
        <v>13802166.904862329</v>
      </c>
      <c r="Q99" s="110">
        <f t="shared" si="36"/>
        <v>12578613.44045382</v>
      </c>
      <c r="R99" s="110">
        <f t="shared" si="36"/>
        <v>11326274.293773957</v>
      </c>
      <c r="S99" s="110">
        <f t="shared" si="36"/>
        <v>10044101.683340259</v>
      </c>
      <c r="T99" s="110">
        <f t="shared" si="36"/>
        <v>8732284.5119225495</v>
      </c>
      <c r="U99" s="110">
        <f t="shared" si="36"/>
        <v>7387187.6245162897</v>
      </c>
      <c r="V99" s="110">
        <f t="shared" si="36"/>
        <v>6008851.654501426</v>
      </c>
      <c r="W99" s="110">
        <f t="shared" si="36"/>
        <v>4564642.1100955438</v>
      </c>
      <c r="X99" s="110">
        <f t="shared" si="36"/>
        <v>3083173.9301802753</v>
      </c>
      <c r="Y99" s="110">
        <f t="shared" si="36"/>
        <v>1561866.4157813161</v>
      </c>
      <c r="Z99" s="110">
        <f t="shared" si="36"/>
        <v>0</v>
      </c>
      <c r="AA99" s="110">
        <f t="shared" si="36"/>
        <v>0</v>
      </c>
      <c r="AB99" s="110">
        <f t="shared" si="36"/>
        <v>0</v>
      </c>
      <c r="AC99" s="110">
        <f t="shared" si="36"/>
        <v>0</v>
      </c>
      <c r="AD99" s="110">
        <f t="shared" si="36"/>
        <v>0</v>
      </c>
      <c r="AE99" s="110">
        <f t="shared" si="36"/>
        <v>0</v>
      </c>
      <c r="AF99" s="110">
        <f t="shared" si="36"/>
        <v>0</v>
      </c>
      <c r="AG99" s="110">
        <f t="shared" si="36"/>
        <v>0</v>
      </c>
      <c r="AH99" s="110">
        <f t="shared" si="36"/>
        <v>0</v>
      </c>
      <c r="AI99" s="110">
        <f t="shared" si="36"/>
        <v>0</v>
      </c>
      <c r="AJ99" s="115">
        <f t="shared" si="36"/>
        <v>0</v>
      </c>
    </row>
    <row r="100" spans="1:36" s="21" customFormat="1" ht="15" outlineLevel="1" x14ac:dyDescent="0.2">
      <c r="A100" t="s">
        <v>72</v>
      </c>
      <c r="B100"/>
      <c r="C100"/>
      <c r="D100"/>
      <c r="E100"/>
      <c r="F100"/>
      <c r="G100" s="116">
        <f>G99*$J$31*G79/$G$79</f>
        <v>1100625.8466019882</v>
      </c>
      <c r="H100" s="112">
        <f>H99*$J$31*H79/$G$79</f>
        <v>1053868.4568023139</v>
      </c>
      <c r="I100" s="112">
        <f t="shared" ref="I100:AJ100" si="37">I99*$J$31*I79/$G$79</f>
        <v>1006133.5891686215</v>
      </c>
      <c r="J100" s="112">
        <f t="shared" si="37"/>
        <v>957387.10391496238</v>
      </c>
      <c r="K100" s="112">
        <f t="shared" si="37"/>
        <v>910080.05754829303</v>
      </c>
      <c r="L100" s="112">
        <f t="shared" si="37"/>
        <v>856831.48134984367</v>
      </c>
      <c r="M100" s="112">
        <f t="shared" si="37"/>
        <v>804836.77216064814</v>
      </c>
      <c r="N100" s="112">
        <f t="shared" si="37"/>
        <v>751679.92274521594</v>
      </c>
      <c r="O100" s="112">
        <f t="shared" si="37"/>
        <v>699229.84804123431</v>
      </c>
      <c r="P100" s="112">
        <f t="shared" si="37"/>
        <v>641800.76107609831</v>
      </c>
      <c r="Q100" s="112">
        <f t="shared" si="37"/>
        <v>584905.52498110267</v>
      </c>
      <c r="R100" s="112">
        <f t="shared" si="37"/>
        <v>526671.75466048892</v>
      </c>
      <c r="S100" s="112">
        <f t="shared" si="37"/>
        <v>468330.31931169279</v>
      </c>
      <c r="T100" s="112">
        <f t="shared" si="37"/>
        <v>406051.22980439861</v>
      </c>
      <c r="U100" s="112">
        <f t="shared" si="37"/>
        <v>343504.22454000748</v>
      </c>
      <c r="V100" s="112">
        <f t="shared" si="37"/>
        <v>279411.60193431634</v>
      </c>
      <c r="W100" s="112">
        <f t="shared" si="37"/>
        <v>212837.38101840019</v>
      </c>
      <c r="X100" s="112">
        <f t="shared" si="37"/>
        <v>143367.5877533828</v>
      </c>
      <c r="Y100" s="112">
        <f t="shared" si="37"/>
        <v>72626.788333831195</v>
      </c>
      <c r="Z100" s="112">
        <f t="shared" si="37"/>
        <v>0</v>
      </c>
      <c r="AA100" s="112">
        <f t="shared" si="37"/>
        <v>0</v>
      </c>
      <c r="AB100" s="112">
        <f t="shared" si="37"/>
        <v>0</v>
      </c>
      <c r="AC100" s="112">
        <f t="shared" si="37"/>
        <v>0</v>
      </c>
      <c r="AD100" s="112">
        <f t="shared" si="37"/>
        <v>0</v>
      </c>
      <c r="AE100" s="112">
        <f t="shared" si="37"/>
        <v>0</v>
      </c>
      <c r="AF100" s="112">
        <f t="shared" si="37"/>
        <v>0</v>
      </c>
      <c r="AG100" s="112">
        <f t="shared" si="37"/>
        <v>0</v>
      </c>
      <c r="AH100" s="112">
        <f t="shared" si="37"/>
        <v>0</v>
      </c>
      <c r="AI100" s="112">
        <f t="shared" si="37"/>
        <v>0</v>
      </c>
      <c r="AJ100" s="117">
        <f t="shared" si="37"/>
        <v>0</v>
      </c>
    </row>
    <row r="101" spans="1:36" s="21" customFormat="1" ht="15" outlineLevel="1" x14ac:dyDescent="0.2">
      <c r="A101" t="s">
        <v>75</v>
      </c>
      <c r="B101"/>
      <c r="C101"/>
      <c r="D101"/>
      <c r="E101"/>
      <c r="F101"/>
      <c r="G101" s="118">
        <f>IF($G$99=$F$96,MIN(MIN(G88,G94)*$F$96/$F$97,G99),MIN(G88,G94,G99))</f>
        <v>1005535.2645091233</v>
      </c>
      <c r="H101" s="119">
        <f>IF($G$99=$F$96,MIN(MIN(H88,H94)*$F$96/$F$97,H99),MIN(H88,H94,H99))</f>
        <v>1026556.2931976863</v>
      </c>
      <c r="I101" s="119">
        <f t="shared" ref="I101:AJ101" si="38">IF($G$99=$F$96,MIN(MIN(I88,I94)*$F$96/$F$97,I99),MIN(I88,I94,I99))</f>
        <v>1048311.5108313789</v>
      </c>
      <c r="J101" s="119">
        <f t="shared" si="38"/>
        <v>1070830.1914183707</v>
      </c>
      <c r="K101" s="119">
        <f t="shared" si="38"/>
        <v>1091656.3153583738</v>
      </c>
      <c r="L101" s="119">
        <f t="shared" si="38"/>
        <v>1118165.7890149564</v>
      </c>
      <c r="M101" s="119">
        <f t="shared" si="38"/>
        <v>1143158.0519447816</v>
      </c>
      <c r="N101" s="119">
        <f t="shared" si="38"/>
        <v>1169043.8445089885</v>
      </c>
      <c r="O101" s="119">
        <f t="shared" si="38"/>
        <v>1193948.8795580545</v>
      </c>
      <c r="P101" s="119">
        <f t="shared" si="38"/>
        <v>1223553.4644085097</v>
      </c>
      <c r="Q101" s="119">
        <f t="shared" si="38"/>
        <v>1252339.1466798643</v>
      </c>
      <c r="R101" s="119">
        <f t="shared" si="38"/>
        <v>1282172.6104336972</v>
      </c>
      <c r="S101" s="119">
        <f t="shared" si="38"/>
        <v>1311817.1714177104</v>
      </c>
      <c r="T101" s="119">
        <f t="shared" si="38"/>
        <v>1345096.8874062598</v>
      </c>
      <c r="U101" s="119">
        <f t="shared" si="38"/>
        <v>1378335.9700148634</v>
      </c>
      <c r="V101" s="119">
        <f t="shared" si="38"/>
        <v>1444209.544405882</v>
      </c>
      <c r="W101" s="119">
        <f t="shared" si="38"/>
        <v>1481468.1799152684</v>
      </c>
      <c r="X101" s="119">
        <f t="shared" si="38"/>
        <v>1521307.5143989592</v>
      </c>
      <c r="Y101" s="119">
        <f t="shared" si="38"/>
        <v>1561866.4157813161</v>
      </c>
      <c r="Z101" s="119">
        <f t="shared" si="38"/>
        <v>0</v>
      </c>
      <c r="AA101" s="119">
        <f t="shared" si="38"/>
        <v>0</v>
      </c>
      <c r="AB101" s="119">
        <f t="shared" si="38"/>
        <v>0</v>
      </c>
      <c r="AC101" s="119">
        <f t="shared" si="38"/>
        <v>0</v>
      </c>
      <c r="AD101" s="119">
        <f t="shared" si="38"/>
        <v>0</v>
      </c>
      <c r="AE101" s="119">
        <f t="shared" si="38"/>
        <v>0</v>
      </c>
      <c r="AF101" s="119">
        <f t="shared" si="38"/>
        <v>0</v>
      </c>
      <c r="AG101" s="119">
        <f t="shared" si="38"/>
        <v>0</v>
      </c>
      <c r="AH101" s="119">
        <f t="shared" si="38"/>
        <v>0</v>
      </c>
      <c r="AI101" s="119">
        <f t="shared" si="38"/>
        <v>0</v>
      </c>
      <c r="AJ101" s="120">
        <f t="shared" si="38"/>
        <v>0</v>
      </c>
    </row>
    <row r="102" spans="1:36" s="21" customFormat="1" ht="15" outlineLevel="1" x14ac:dyDescent="0.2">
      <c r="A102" t="s">
        <v>76</v>
      </c>
      <c r="B102"/>
      <c r="C102"/>
      <c r="D102"/>
      <c r="E102"/>
      <c r="F102"/>
      <c r="G102" s="121">
        <f>G99-G101</f>
        <v>22663837.780694924</v>
      </c>
      <c r="H102" s="122">
        <f>H99-H101</f>
        <v>21637281.487497237</v>
      </c>
      <c r="I102" s="122">
        <f t="shared" ref="I102:AJ102" si="39">I99-I101</f>
        <v>20588969.976665858</v>
      </c>
      <c r="J102" s="122">
        <f t="shared" si="39"/>
        <v>19518139.785247486</v>
      </c>
      <c r="K102" s="122">
        <f t="shared" si="39"/>
        <v>18426483.469889112</v>
      </c>
      <c r="L102" s="122">
        <f t="shared" si="39"/>
        <v>17308317.680874154</v>
      </c>
      <c r="M102" s="122">
        <f t="shared" si="39"/>
        <v>16165159.628929373</v>
      </c>
      <c r="N102" s="122">
        <f t="shared" si="39"/>
        <v>14996115.784420384</v>
      </c>
      <c r="O102" s="122">
        <f t="shared" si="39"/>
        <v>13802166.904862329</v>
      </c>
      <c r="P102" s="122">
        <f t="shared" si="39"/>
        <v>12578613.44045382</v>
      </c>
      <c r="Q102" s="122">
        <f t="shared" si="39"/>
        <v>11326274.293773957</v>
      </c>
      <c r="R102" s="122">
        <f t="shared" si="39"/>
        <v>10044101.683340259</v>
      </c>
      <c r="S102" s="122">
        <f t="shared" si="39"/>
        <v>8732284.5119225495</v>
      </c>
      <c r="T102" s="122">
        <f t="shared" si="39"/>
        <v>7387187.6245162897</v>
      </c>
      <c r="U102" s="122">
        <f t="shared" si="39"/>
        <v>6008851.654501426</v>
      </c>
      <c r="V102" s="122">
        <f t="shared" si="39"/>
        <v>4564642.1100955438</v>
      </c>
      <c r="W102" s="122">
        <f t="shared" si="39"/>
        <v>3083173.9301802753</v>
      </c>
      <c r="X102" s="122">
        <f t="shared" si="39"/>
        <v>1561866.4157813161</v>
      </c>
      <c r="Y102" s="122">
        <f t="shared" si="39"/>
        <v>0</v>
      </c>
      <c r="Z102" s="122">
        <f t="shared" si="39"/>
        <v>0</v>
      </c>
      <c r="AA102" s="122">
        <f t="shared" si="39"/>
        <v>0</v>
      </c>
      <c r="AB102" s="122">
        <f t="shared" si="39"/>
        <v>0</v>
      </c>
      <c r="AC102" s="122">
        <f t="shared" si="39"/>
        <v>0</v>
      </c>
      <c r="AD102" s="122">
        <f t="shared" si="39"/>
        <v>0</v>
      </c>
      <c r="AE102" s="122">
        <f t="shared" si="39"/>
        <v>0</v>
      </c>
      <c r="AF102" s="122">
        <f t="shared" si="39"/>
        <v>0</v>
      </c>
      <c r="AG102" s="122">
        <f t="shared" si="39"/>
        <v>0</v>
      </c>
      <c r="AH102" s="122">
        <f t="shared" si="39"/>
        <v>0</v>
      </c>
      <c r="AI102" s="122">
        <f t="shared" si="39"/>
        <v>0</v>
      </c>
      <c r="AJ102" s="123">
        <f t="shared" si="39"/>
        <v>0</v>
      </c>
    </row>
    <row r="103" spans="1:36" s="21" customFormat="1" ht="15" outlineLevel="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s="21" customFormat="1" ht="15" outlineLevel="1" x14ac:dyDescent="0.2">
      <c r="A104" t="str">
        <f>"DSCR - "&amp;TEXT(F81,"")</f>
        <v>DSCR - P50</v>
      </c>
      <c r="B104"/>
      <c r="C104"/>
      <c r="D104"/>
      <c r="E104"/>
      <c r="F104"/>
      <c r="G104" s="124">
        <f>IFERROR(G81/SUM(G$100:G$101),"")</f>
        <v>1.35</v>
      </c>
      <c r="H104" s="124">
        <f t="shared" ref="H104:AJ104" si="40">IFERROR(H81/SUM(H$100:H$101),"")</f>
        <v>1.35</v>
      </c>
      <c r="I104" s="124">
        <f t="shared" si="40"/>
        <v>1.35</v>
      </c>
      <c r="J104" s="124">
        <f t="shared" si="40"/>
        <v>1.35</v>
      </c>
      <c r="K104" s="124">
        <f t="shared" si="40"/>
        <v>1.3500000000000003</v>
      </c>
      <c r="L104" s="124">
        <f t="shared" si="40"/>
        <v>1.3500000000000003</v>
      </c>
      <c r="M104" s="124">
        <f t="shared" si="40"/>
        <v>1.35</v>
      </c>
      <c r="N104" s="124">
        <f t="shared" si="40"/>
        <v>1.35</v>
      </c>
      <c r="O104" s="124">
        <f t="shared" si="40"/>
        <v>1.35</v>
      </c>
      <c r="P104" s="124">
        <f t="shared" si="40"/>
        <v>1.35</v>
      </c>
      <c r="Q104" s="124">
        <f t="shared" si="40"/>
        <v>1.35</v>
      </c>
      <c r="R104" s="124">
        <f t="shared" si="40"/>
        <v>1.3499999999999999</v>
      </c>
      <c r="S104" s="124">
        <f t="shared" si="40"/>
        <v>1.35</v>
      </c>
      <c r="T104" s="124">
        <f t="shared" si="40"/>
        <v>1.35</v>
      </c>
      <c r="U104" s="124">
        <f t="shared" si="40"/>
        <v>1.35</v>
      </c>
      <c r="V104" s="124">
        <f t="shared" si="40"/>
        <v>1.35</v>
      </c>
      <c r="W104" s="124">
        <f t="shared" si="40"/>
        <v>1.35</v>
      </c>
      <c r="X104" s="124">
        <f t="shared" si="40"/>
        <v>1.35</v>
      </c>
      <c r="Y104" s="124">
        <f t="shared" si="40"/>
        <v>1.3501901888350125</v>
      </c>
      <c r="Z104" s="124" t="str">
        <f t="shared" si="40"/>
        <v/>
      </c>
      <c r="AA104" s="124" t="str">
        <f t="shared" si="40"/>
        <v/>
      </c>
      <c r="AB104" s="124" t="str">
        <f t="shared" si="40"/>
        <v/>
      </c>
      <c r="AC104" s="124" t="str">
        <f t="shared" si="40"/>
        <v/>
      </c>
      <c r="AD104" s="124" t="str">
        <f t="shared" si="40"/>
        <v/>
      </c>
      <c r="AE104" s="124" t="str">
        <f t="shared" si="40"/>
        <v/>
      </c>
      <c r="AF104" s="124" t="str">
        <f t="shared" si="40"/>
        <v/>
      </c>
      <c r="AG104" s="124" t="str">
        <f t="shared" si="40"/>
        <v/>
      </c>
      <c r="AH104" s="124" t="str">
        <f t="shared" si="40"/>
        <v/>
      </c>
      <c r="AI104" s="124" t="str">
        <f t="shared" si="40"/>
        <v/>
      </c>
      <c r="AJ104" s="124" t="str">
        <f t="shared" si="40"/>
        <v/>
      </c>
    </row>
    <row r="105" spans="1:36" s="21" customFormat="1" ht="15" outlineLevel="1" x14ac:dyDescent="0.2">
      <c r="A105" t="str">
        <f>"DSCR - "&amp;TEXT(F82,"")</f>
        <v>DSCR - P99</v>
      </c>
      <c r="B105"/>
      <c r="C105"/>
      <c r="D105"/>
      <c r="E105"/>
      <c r="F105"/>
      <c r="G105" s="124">
        <f>IFERROR(G82/SUM(G$100:G$101),"")</f>
        <v>1.1324920669253431</v>
      </c>
      <c r="H105" s="124">
        <f t="shared" ref="H105:AJ105" si="41">IFERROR(H82/SUM(H$100:H$101),"")</f>
        <v>1.1309023295603458</v>
      </c>
      <c r="I105" s="124">
        <f t="shared" si="41"/>
        <v>1.1292466284448288</v>
      </c>
      <c r="J105" s="124">
        <f t="shared" si="41"/>
        <v>1.1275212992275367</v>
      </c>
      <c r="K105" s="124">
        <f t="shared" si="41"/>
        <v>1.1257224072677965</v>
      </c>
      <c r="L105" s="124">
        <f t="shared" si="41"/>
        <v>1.1238457222437075</v>
      </c>
      <c r="M105" s="124">
        <f t="shared" si="41"/>
        <v>1.1218866898406343</v>
      </c>
      <c r="N105" s="124">
        <f t="shared" si="41"/>
        <v>1.1198404001206423</v>
      </c>
      <c r="O105" s="124">
        <f t="shared" si="41"/>
        <v>1.117701552109831</v>
      </c>
      <c r="P105" s="124">
        <f t="shared" si="41"/>
        <v>1.1154644140651933</v>
      </c>
      <c r="Q105" s="124">
        <f t="shared" si="41"/>
        <v>1.1131227787932267</v>
      </c>
      <c r="R105" s="124">
        <f t="shared" si="41"/>
        <v>1.1106699132860671</v>
      </c>
      <c r="S105" s="124">
        <f t="shared" si="41"/>
        <v>1.1080985018137137</v>
      </c>
      <c r="T105" s="124">
        <f t="shared" si="41"/>
        <v>1.1054005814583683</v>
      </c>
      <c r="U105" s="124">
        <f t="shared" si="41"/>
        <v>1.1025674688932794</v>
      </c>
      <c r="V105" s="124">
        <f t="shared" si="41"/>
        <v>1.1041520393563546</v>
      </c>
      <c r="W105" s="124">
        <f t="shared" si="41"/>
        <v>1.1012501760498561</v>
      </c>
      <c r="X105" s="124">
        <f t="shared" si="41"/>
        <v>1.0981985068990114</v>
      </c>
      <c r="Y105" s="124">
        <f t="shared" si="41"/>
        <v>1.0951404024850706</v>
      </c>
      <c r="Z105" s="124" t="str">
        <f t="shared" si="41"/>
        <v/>
      </c>
      <c r="AA105" s="124" t="str">
        <f t="shared" si="41"/>
        <v/>
      </c>
      <c r="AB105" s="124" t="str">
        <f t="shared" si="41"/>
        <v/>
      </c>
      <c r="AC105" s="124" t="str">
        <f t="shared" si="41"/>
        <v/>
      </c>
      <c r="AD105" s="124" t="str">
        <f t="shared" si="41"/>
        <v/>
      </c>
      <c r="AE105" s="124" t="str">
        <f t="shared" si="41"/>
        <v/>
      </c>
      <c r="AF105" s="124" t="str">
        <f t="shared" si="41"/>
        <v/>
      </c>
      <c r="AG105" s="124" t="str">
        <f t="shared" si="41"/>
        <v/>
      </c>
      <c r="AH105" s="124" t="str">
        <f t="shared" si="41"/>
        <v/>
      </c>
      <c r="AI105" s="124" t="str">
        <f t="shared" si="41"/>
        <v/>
      </c>
      <c r="AJ105" s="124" t="str">
        <f t="shared" si="41"/>
        <v/>
      </c>
    </row>
    <row r="106" spans="1:36" s="21" customFormat="1" ht="15" outlineLevel="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</row>
    <row r="107" spans="1:36" s="21" customFormat="1" ht="15" x14ac:dyDescent="0.2">
      <c r="A107" s="19"/>
      <c r="B107" s="19"/>
      <c r="C107" s="19"/>
      <c r="D107" s="20"/>
      <c r="E107" s="20"/>
      <c r="F107" s="20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</row>
    <row r="108" spans="1:36" s="38" customFormat="1" ht="18.75" customHeight="1" x14ac:dyDescent="0.2">
      <c r="A108" s="4" t="s">
        <v>112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customFormat="1" ht="18.75" customHeight="1" outlineLevel="1" x14ac:dyDescent="0.2"/>
    <row r="110" spans="1:36" outlineLevel="1" x14ac:dyDescent="0.15"/>
    <row r="111" spans="1:36" outlineLevel="1" x14ac:dyDescent="0.15">
      <c r="A111" s="19"/>
      <c r="B111" s="19"/>
      <c r="C111" s="173" t="str">
        <f t="shared" ref="C111:D111" si="42">C39</f>
        <v>% of Capex</v>
      </c>
      <c r="D111" s="132" t="str">
        <f t="shared" si="42"/>
        <v>Depreciation Rate</v>
      </c>
    </row>
    <row r="112" spans="1:36" outlineLevel="1" x14ac:dyDescent="0.15">
      <c r="A112" s="19" t="str">
        <f>A40</f>
        <v>Class A</v>
      </c>
      <c r="B112" s="19"/>
      <c r="C112" s="133">
        <f>C40</f>
        <v>2.1677670139799671E-3</v>
      </c>
      <c r="D112" s="133">
        <f t="shared" ref="D112:D116" si="43">D40</f>
        <v>0.05</v>
      </c>
    </row>
    <row r="113" spans="1:36" s="21" customFormat="1" ht="15" outlineLevel="1" x14ac:dyDescent="0.2">
      <c r="A113" s="19" t="str">
        <f>A41</f>
        <v>Class B</v>
      </c>
      <c r="B113" s="19"/>
      <c r="C113" s="134">
        <f>C41</f>
        <v>0</v>
      </c>
      <c r="D113" s="134">
        <f t="shared" si="43"/>
        <v>0.2</v>
      </c>
      <c r="E113" s="20"/>
      <c r="F113" s="20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s="21" customFormat="1" ht="15" outlineLevel="1" x14ac:dyDescent="0.2">
      <c r="A114" s="19" t="str">
        <f>A42</f>
        <v>Class C</v>
      </c>
      <c r="B114" s="19"/>
      <c r="C114" s="134">
        <f t="shared" ref="C114" si="44">C42</f>
        <v>3.2074278137527175E-2</v>
      </c>
      <c r="D114" s="134">
        <f>D42</f>
        <v>0.05</v>
      </c>
      <c r="E114" s="20"/>
      <c r="F114" s="20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s="21" customFormat="1" ht="15" outlineLevel="1" x14ac:dyDescent="0.2">
      <c r="A115" s="19" t="str">
        <f>A43</f>
        <v>Class D</v>
      </c>
      <c r="B115" s="19"/>
      <c r="C115" s="134">
        <f t="shared" ref="C115" si="45">C43</f>
        <v>5.7539534536502858E-3</v>
      </c>
      <c r="D115" s="134">
        <f t="shared" si="43"/>
        <v>0.1</v>
      </c>
      <c r="E115" s="20"/>
      <c r="F115" s="20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s="21" customFormat="1" ht="15" outlineLevel="1" x14ac:dyDescent="0.2">
      <c r="A116" s="19" t="str">
        <f>A44</f>
        <v>Class E</v>
      </c>
      <c r="B116" s="19"/>
      <c r="C116" s="135">
        <f t="shared" ref="C116" si="46">C44</f>
        <v>0.92793487430529409</v>
      </c>
      <c r="D116" s="135">
        <f t="shared" si="43"/>
        <v>0.25</v>
      </c>
      <c r="E116" s="20"/>
      <c r="F116" s="2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s="21" customFormat="1" ht="15" outlineLevel="1" x14ac:dyDescent="0.2">
      <c r="E117" s="20"/>
      <c r="F117" s="20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s="21" customFormat="1" ht="15" outlineLevel="1" x14ac:dyDescent="0.2">
      <c r="A118" s="136" t="str">
        <f>A112</f>
        <v>Class A</v>
      </c>
      <c r="B118" s="19"/>
      <c r="C118" s="19"/>
      <c r="D118" s="20"/>
      <c r="E118" s="20"/>
      <c r="F118" s="20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</row>
    <row r="119" spans="1:36" s="21" customFormat="1" outlineLevel="1" x14ac:dyDescent="0.15">
      <c r="A119" s="19" t="s">
        <v>82</v>
      </c>
      <c r="B119" s="19"/>
      <c r="C119" s="19"/>
      <c r="D119" s="20"/>
      <c r="E119" s="20"/>
      <c r="F119" s="20"/>
      <c r="G119" s="138">
        <f>$C$112*$K$21</f>
        <v>66200.734041707721</v>
      </c>
      <c r="H119" s="46">
        <f>G121</f>
        <v>62890.697339622333</v>
      </c>
      <c r="I119" s="46">
        <f t="shared" ref="I119:AJ119" si="47">H121</f>
        <v>59580.660637536945</v>
      </c>
      <c r="J119" s="46">
        <f t="shared" si="47"/>
        <v>56270.623935451556</v>
      </c>
      <c r="K119" s="46">
        <f t="shared" si="47"/>
        <v>52960.587233366168</v>
      </c>
      <c r="L119" s="46">
        <f t="shared" si="47"/>
        <v>49650.55053128078</v>
      </c>
      <c r="M119" s="46">
        <f t="shared" si="47"/>
        <v>46340.513829195392</v>
      </c>
      <c r="N119" s="46">
        <f t="shared" si="47"/>
        <v>43030.477127110003</v>
      </c>
      <c r="O119" s="46">
        <f t="shared" si="47"/>
        <v>39720.440425024615</v>
      </c>
      <c r="P119" s="46">
        <f t="shared" si="47"/>
        <v>36410.403722939227</v>
      </c>
      <c r="Q119" s="46">
        <f t="shared" si="47"/>
        <v>33100.367020853839</v>
      </c>
      <c r="R119" s="46">
        <f t="shared" si="47"/>
        <v>29790.330318768451</v>
      </c>
      <c r="S119" s="46">
        <f t="shared" si="47"/>
        <v>26480.293616683062</v>
      </c>
      <c r="T119" s="46">
        <f t="shared" si="47"/>
        <v>23170.256914597674</v>
      </c>
      <c r="U119" s="46">
        <f t="shared" si="47"/>
        <v>19860.220212512286</v>
      </c>
      <c r="V119" s="46">
        <f t="shared" si="47"/>
        <v>16550.183510426898</v>
      </c>
      <c r="W119" s="46">
        <f t="shared" si="47"/>
        <v>13240.146808341511</v>
      </c>
      <c r="X119" s="46">
        <f t="shared" si="47"/>
        <v>9930.1101062561247</v>
      </c>
      <c r="Y119" s="46">
        <f t="shared" si="47"/>
        <v>6620.0734041707383</v>
      </c>
      <c r="Z119" s="46">
        <f t="shared" si="47"/>
        <v>3310.0367020853519</v>
      </c>
      <c r="AA119" s="46">
        <f t="shared" si="47"/>
        <v>0</v>
      </c>
      <c r="AB119" s="46">
        <f t="shared" si="47"/>
        <v>0</v>
      </c>
      <c r="AC119" s="46">
        <f t="shared" si="47"/>
        <v>0</v>
      </c>
      <c r="AD119" s="46">
        <f t="shared" si="47"/>
        <v>0</v>
      </c>
      <c r="AE119" s="46">
        <f t="shared" si="47"/>
        <v>0</v>
      </c>
      <c r="AF119" s="46">
        <f t="shared" si="47"/>
        <v>0</v>
      </c>
      <c r="AG119" s="46">
        <f t="shared" si="47"/>
        <v>0</v>
      </c>
      <c r="AH119" s="46">
        <f t="shared" si="47"/>
        <v>0</v>
      </c>
      <c r="AI119" s="46">
        <f t="shared" si="47"/>
        <v>0</v>
      </c>
      <c r="AJ119" s="46">
        <f t="shared" si="47"/>
        <v>0</v>
      </c>
    </row>
    <row r="120" spans="1:36" s="21" customFormat="1" outlineLevel="1" x14ac:dyDescent="0.15">
      <c r="A120" s="19" t="s">
        <v>84</v>
      </c>
      <c r="B120" s="19"/>
      <c r="C120" s="19"/>
      <c r="D120" s="20"/>
      <c r="E120" s="20"/>
      <c r="F120" s="20"/>
      <c r="G120" s="139">
        <f>MIN($D$112*$G$119,G119)</f>
        <v>3310.0367020853864</v>
      </c>
      <c r="H120" s="137">
        <f>MIN($D$112*$G$119,H119)</f>
        <v>3310.0367020853864</v>
      </c>
      <c r="I120" s="137">
        <f t="shared" ref="I120:AJ120" si="48">MIN($D$112*$G$119,I119)</f>
        <v>3310.0367020853864</v>
      </c>
      <c r="J120" s="137">
        <f t="shared" si="48"/>
        <v>3310.0367020853864</v>
      </c>
      <c r="K120" s="137">
        <f t="shared" si="48"/>
        <v>3310.0367020853864</v>
      </c>
      <c r="L120" s="137">
        <f t="shared" si="48"/>
        <v>3310.0367020853864</v>
      </c>
      <c r="M120" s="137">
        <f t="shared" si="48"/>
        <v>3310.0367020853864</v>
      </c>
      <c r="N120" s="137">
        <f t="shared" si="48"/>
        <v>3310.0367020853864</v>
      </c>
      <c r="O120" s="137">
        <f t="shared" si="48"/>
        <v>3310.0367020853864</v>
      </c>
      <c r="P120" s="137">
        <f t="shared" si="48"/>
        <v>3310.0367020853864</v>
      </c>
      <c r="Q120" s="137">
        <f t="shared" si="48"/>
        <v>3310.0367020853864</v>
      </c>
      <c r="R120" s="137">
        <f t="shared" si="48"/>
        <v>3310.0367020853864</v>
      </c>
      <c r="S120" s="137">
        <f t="shared" si="48"/>
        <v>3310.0367020853864</v>
      </c>
      <c r="T120" s="137">
        <f t="shared" si="48"/>
        <v>3310.0367020853864</v>
      </c>
      <c r="U120" s="137">
        <f t="shared" si="48"/>
        <v>3310.0367020853864</v>
      </c>
      <c r="V120" s="137">
        <f t="shared" si="48"/>
        <v>3310.0367020853864</v>
      </c>
      <c r="W120" s="137">
        <f t="shared" si="48"/>
        <v>3310.0367020853864</v>
      </c>
      <c r="X120" s="137">
        <f t="shared" si="48"/>
        <v>3310.0367020853864</v>
      </c>
      <c r="Y120" s="137">
        <f t="shared" si="48"/>
        <v>3310.0367020853864</v>
      </c>
      <c r="Z120" s="137">
        <f t="shared" si="48"/>
        <v>3310.0367020853519</v>
      </c>
      <c r="AA120" s="137">
        <f t="shared" si="48"/>
        <v>0</v>
      </c>
      <c r="AB120" s="137">
        <f t="shared" si="48"/>
        <v>0</v>
      </c>
      <c r="AC120" s="137">
        <f t="shared" si="48"/>
        <v>0</v>
      </c>
      <c r="AD120" s="137">
        <f t="shared" si="48"/>
        <v>0</v>
      </c>
      <c r="AE120" s="137">
        <f t="shared" si="48"/>
        <v>0</v>
      </c>
      <c r="AF120" s="137">
        <f t="shared" si="48"/>
        <v>0</v>
      </c>
      <c r="AG120" s="137">
        <f t="shared" si="48"/>
        <v>0</v>
      </c>
      <c r="AH120" s="137">
        <f t="shared" si="48"/>
        <v>0</v>
      </c>
      <c r="AI120" s="137">
        <f t="shared" si="48"/>
        <v>0</v>
      </c>
      <c r="AJ120" s="137">
        <f t="shared" si="48"/>
        <v>0</v>
      </c>
    </row>
    <row r="121" spans="1:36" s="21" customFormat="1" outlineLevel="1" x14ac:dyDescent="0.15">
      <c r="A121" s="19" t="s">
        <v>85</v>
      </c>
      <c r="B121" s="19"/>
      <c r="C121" s="19"/>
      <c r="D121" s="20"/>
      <c r="E121" s="20"/>
      <c r="F121" s="20"/>
      <c r="G121" s="139">
        <f>G119-G120</f>
        <v>62890.697339622333</v>
      </c>
      <c r="H121" s="137">
        <f>H119-H120</f>
        <v>59580.660637536945</v>
      </c>
      <c r="I121" s="137">
        <f t="shared" ref="I121:AJ121" si="49">I119-I120</f>
        <v>56270.623935451556</v>
      </c>
      <c r="J121" s="137">
        <f t="shared" si="49"/>
        <v>52960.587233366168</v>
      </c>
      <c r="K121" s="137">
        <f t="shared" si="49"/>
        <v>49650.55053128078</v>
      </c>
      <c r="L121" s="137">
        <f t="shared" si="49"/>
        <v>46340.513829195392</v>
      </c>
      <c r="M121" s="137">
        <f t="shared" si="49"/>
        <v>43030.477127110003</v>
      </c>
      <c r="N121" s="137">
        <f t="shared" si="49"/>
        <v>39720.440425024615</v>
      </c>
      <c r="O121" s="137">
        <f t="shared" si="49"/>
        <v>36410.403722939227</v>
      </c>
      <c r="P121" s="137">
        <f t="shared" si="49"/>
        <v>33100.367020853839</v>
      </c>
      <c r="Q121" s="137">
        <f t="shared" si="49"/>
        <v>29790.330318768451</v>
      </c>
      <c r="R121" s="137">
        <f t="shared" si="49"/>
        <v>26480.293616683062</v>
      </c>
      <c r="S121" s="137">
        <f t="shared" si="49"/>
        <v>23170.256914597674</v>
      </c>
      <c r="T121" s="137">
        <f t="shared" si="49"/>
        <v>19860.220212512286</v>
      </c>
      <c r="U121" s="137">
        <f t="shared" si="49"/>
        <v>16550.183510426898</v>
      </c>
      <c r="V121" s="137">
        <f t="shared" si="49"/>
        <v>13240.146808341511</v>
      </c>
      <c r="W121" s="137">
        <f t="shared" si="49"/>
        <v>9930.1101062561247</v>
      </c>
      <c r="X121" s="137">
        <f t="shared" si="49"/>
        <v>6620.0734041707383</v>
      </c>
      <c r="Y121" s="137">
        <f t="shared" si="49"/>
        <v>3310.0367020853519</v>
      </c>
      <c r="Z121" s="137">
        <f t="shared" si="49"/>
        <v>0</v>
      </c>
      <c r="AA121" s="137">
        <f t="shared" si="49"/>
        <v>0</v>
      </c>
      <c r="AB121" s="137">
        <f t="shared" si="49"/>
        <v>0</v>
      </c>
      <c r="AC121" s="137">
        <f t="shared" si="49"/>
        <v>0</v>
      </c>
      <c r="AD121" s="137">
        <f t="shared" si="49"/>
        <v>0</v>
      </c>
      <c r="AE121" s="137">
        <f t="shared" si="49"/>
        <v>0</v>
      </c>
      <c r="AF121" s="137">
        <f t="shared" si="49"/>
        <v>0</v>
      </c>
      <c r="AG121" s="137">
        <f t="shared" si="49"/>
        <v>0</v>
      </c>
      <c r="AH121" s="137">
        <f t="shared" si="49"/>
        <v>0</v>
      </c>
      <c r="AI121" s="137">
        <f t="shared" si="49"/>
        <v>0</v>
      </c>
      <c r="AJ121" s="137">
        <f t="shared" si="49"/>
        <v>0</v>
      </c>
    </row>
    <row r="122" spans="1:36" s="21" customFormat="1" ht="15" outlineLevel="1" x14ac:dyDescent="0.2">
      <c r="A122" s="19"/>
      <c r="B122" s="19"/>
      <c r="C122" s="19"/>
      <c r="D122" s="20"/>
      <c r="E122" s="20"/>
      <c r="F122" s="20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s="21" customFormat="1" ht="15" outlineLevel="1" x14ac:dyDescent="0.2">
      <c r="A123" s="136" t="str">
        <f>A113</f>
        <v>Class B</v>
      </c>
      <c r="B123" s="19"/>
      <c r="C123" s="19"/>
      <c r="D123" s="20"/>
      <c r="E123" s="20"/>
      <c r="F123" s="20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s="21" customFormat="1" outlineLevel="1" x14ac:dyDescent="0.15">
      <c r="A124" s="19" t="s">
        <v>82</v>
      </c>
      <c r="B124" s="19"/>
      <c r="C124" s="19"/>
      <c r="D124" s="20"/>
      <c r="E124" s="20"/>
      <c r="F124" s="20"/>
      <c r="G124" s="138">
        <f>C113*$K$21</f>
        <v>0</v>
      </c>
      <c r="H124" s="46">
        <f>G126</f>
        <v>0</v>
      </c>
      <c r="I124" s="46">
        <f t="shared" ref="I124:AJ124" si="50">H126</f>
        <v>0</v>
      </c>
      <c r="J124" s="46">
        <f t="shared" si="50"/>
        <v>0</v>
      </c>
      <c r="K124" s="46">
        <f t="shared" si="50"/>
        <v>0</v>
      </c>
      <c r="L124" s="46">
        <f t="shared" si="50"/>
        <v>0</v>
      </c>
      <c r="M124" s="46">
        <f t="shared" si="50"/>
        <v>0</v>
      </c>
      <c r="N124" s="46">
        <f t="shared" si="50"/>
        <v>0</v>
      </c>
      <c r="O124" s="46">
        <f t="shared" si="50"/>
        <v>0</v>
      </c>
      <c r="P124" s="46">
        <f t="shared" si="50"/>
        <v>0</v>
      </c>
      <c r="Q124" s="46">
        <f t="shared" si="50"/>
        <v>0</v>
      </c>
      <c r="R124" s="46">
        <f t="shared" si="50"/>
        <v>0</v>
      </c>
      <c r="S124" s="46">
        <f t="shared" si="50"/>
        <v>0</v>
      </c>
      <c r="T124" s="46">
        <f t="shared" si="50"/>
        <v>0</v>
      </c>
      <c r="U124" s="46">
        <f t="shared" si="50"/>
        <v>0</v>
      </c>
      <c r="V124" s="46">
        <f t="shared" si="50"/>
        <v>0</v>
      </c>
      <c r="W124" s="46">
        <f t="shared" si="50"/>
        <v>0</v>
      </c>
      <c r="X124" s="46">
        <f t="shared" si="50"/>
        <v>0</v>
      </c>
      <c r="Y124" s="46">
        <f t="shared" si="50"/>
        <v>0</v>
      </c>
      <c r="Z124" s="46">
        <f t="shared" si="50"/>
        <v>0</v>
      </c>
      <c r="AA124" s="46">
        <f t="shared" si="50"/>
        <v>0</v>
      </c>
      <c r="AB124" s="46">
        <f t="shared" si="50"/>
        <v>0</v>
      </c>
      <c r="AC124" s="46">
        <f t="shared" si="50"/>
        <v>0</v>
      </c>
      <c r="AD124" s="46">
        <f t="shared" si="50"/>
        <v>0</v>
      </c>
      <c r="AE124" s="46">
        <f t="shared" si="50"/>
        <v>0</v>
      </c>
      <c r="AF124" s="46">
        <f t="shared" si="50"/>
        <v>0</v>
      </c>
      <c r="AG124" s="46">
        <f t="shared" si="50"/>
        <v>0</v>
      </c>
      <c r="AH124" s="46">
        <f t="shared" si="50"/>
        <v>0</v>
      </c>
      <c r="AI124" s="46">
        <f t="shared" si="50"/>
        <v>0</v>
      </c>
      <c r="AJ124" s="46">
        <f t="shared" si="50"/>
        <v>0</v>
      </c>
    </row>
    <row r="125" spans="1:36" s="21" customFormat="1" outlineLevel="1" x14ac:dyDescent="0.15">
      <c r="A125" s="19" t="s">
        <v>84</v>
      </c>
      <c r="B125" s="19"/>
      <c r="C125" s="19"/>
      <c r="D125" s="20"/>
      <c r="E125" s="20"/>
      <c r="F125" s="20"/>
      <c r="G125" s="139">
        <f>MIN($D$113*$G$124,G124)</f>
        <v>0</v>
      </c>
      <c r="H125" s="137">
        <f>MIN($D$113*$G$124,H124)</f>
        <v>0</v>
      </c>
      <c r="I125" s="137">
        <f t="shared" ref="I125:AJ125" si="51">MIN($D$113*$G$124,I124)</f>
        <v>0</v>
      </c>
      <c r="J125" s="137">
        <f t="shared" si="51"/>
        <v>0</v>
      </c>
      <c r="K125" s="137">
        <f t="shared" si="51"/>
        <v>0</v>
      </c>
      <c r="L125" s="137">
        <f t="shared" si="51"/>
        <v>0</v>
      </c>
      <c r="M125" s="137">
        <f t="shared" si="51"/>
        <v>0</v>
      </c>
      <c r="N125" s="137">
        <f t="shared" si="51"/>
        <v>0</v>
      </c>
      <c r="O125" s="137">
        <f t="shared" si="51"/>
        <v>0</v>
      </c>
      <c r="P125" s="137">
        <f t="shared" si="51"/>
        <v>0</v>
      </c>
      <c r="Q125" s="137">
        <f t="shared" si="51"/>
        <v>0</v>
      </c>
      <c r="R125" s="137">
        <f t="shared" si="51"/>
        <v>0</v>
      </c>
      <c r="S125" s="137">
        <f t="shared" si="51"/>
        <v>0</v>
      </c>
      <c r="T125" s="137">
        <f t="shared" si="51"/>
        <v>0</v>
      </c>
      <c r="U125" s="137">
        <f t="shared" si="51"/>
        <v>0</v>
      </c>
      <c r="V125" s="137">
        <f t="shared" si="51"/>
        <v>0</v>
      </c>
      <c r="W125" s="137">
        <f t="shared" si="51"/>
        <v>0</v>
      </c>
      <c r="X125" s="137">
        <f t="shared" si="51"/>
        <v>0</v>
      </c>
      <c r="Y125" s="137">
        <f t="shared" si="51"/>
        <v>0</v>
      </c>
      <c r="Z125" s="137">
        <f t="shared" si="51"/>
        <v>0</v>
      </c>
      <c r="AA125" s="137">
        <f t="shared" si="51"/>
        <v>0</v>
      </c>
      <c r="AB125" s="137">
        <f t="shared" si="51"/>
        <v>0</v>
      </c>
      <c r="AC125" s="137">
        <f t="shared" si="51"/>
        <v>0</v>
      </c>
      <c r="AD125" s="137">
        <f t="shared" si="51"/>
        <v>0</v>
      </c>
      <c r="AE125" s="137">
        <f t="shared" si="51"/>
        <v>0</v>
      </c>
      <c r="AF125" s="137">
        <f t="shared" si="51"/>
        <v>0</v>
      </c>
      <c r="AG125" s="137">
        <f t="shared" si="51"/>
        <v>0</v>
      </c>
      <c r="AH125" s="137">
        <f t="shared" si="51"/>
        <v>0</v>
      </c>
      <c r="AI125" s="137">
        <f t="shared" si="51"/>
        <v>0</v>
      </c>
      <c r="AJ125" s="137">
        <f t="shared" si="51"/>
        <v>0</v>
      </c>
    </row>
    <row r="126" spans="1:36" s="21" customFormat="1" outlineLevel="1" x14ac:dyDescent="0.15">
      <c r="A126" s="19" t="s">
        <v>85</v>
      </c>
      <c r="B126" s="19"/>
      <c r="C126" s="19"/>
      <c r="D126" s="20"/>
      <c r="E126" s="20"/>
      <c r="F126" s="20"/>
      <c r="G126" s="139">
        <f>G124-G125</f>
        <v>0</v>
      </c>
      <c r="H126" s="137">
        <f>H124-H125</f>
        <v>0</v>
      </c>
      <c r="I126" s="137">
        <f t="shared" ref="I126:AJ126" si="52">I124-I125</f>
        <v>0</v>
      </c>
      <c r="J126" s="137">
        <f t="shared" si="52"/>
        <v>0</v>
      </c>
      <c r="K126" s="137">
        <f t="shared" si="52"/>
        <v>0</v>
      </c>
      <c r="L126" s="137">
        <f t="shared" si="52"/>
        <v>0</v>
      </c>
      <c r="M126" s="137">
        <f t="shared" si="52"/>
        <v>0</v>
      </c>
      <c r="N126" s="137">
        <f t="shared" si="52"/>
        <v>0</v>
      </c>
      <c r="O126" s="137">
        <f t="shared" si="52"/>
        <v>0</v>
      </c>
      <c r="P126" s="137">
        <f t="shared" si="52"/>
        <v>0</v>
      </c>
      <c r="Q126" s="137">
        <f t="shared" si="52"/>
        <v>0</v>
      </c>
      <c r="R126" s="137">
        <f t="shared" si="52"/>
        <v>0</v>
      </c>
      <c r="S126" s="137">
        <f t="shared" si="52"/>
        <v>0</v>
      </c>
      <c r="T126" s="137">
        <f t="shared" si="52"/>
        <v>0</v>
      </c>
      <c r="U126" s="137">
        <f t="shared" si="52"/>
        <v>0</v>
      </c>
      <c r="V126" s="137">
        <f t="shared" si="52"/>
        <v>0</v>
      </c>
      <c r="W126" s="137">
        <f t="shared" si="52"/>
        <v>0</v>
      </c>
      <c r="X126" s="137">
        <f t="shared" si="52"/>
        <v>0</v>
      </c>
      <c r="Y126" s="137">
        <f t="shared" si="52"/>
        <v>0</v>
      </c>
      <c r="Z126" s="137">
        <f t="shared" si="52"/>
        <v>0</v>
      </c>
      <c r="AA126" s="137">
        <f t="shared" si="52"/>
        <v>0</v>
      </c>
      <c r="AB126" s="137">
        <f t="shared" si="52"/>
        <v>0</v>
      </c>
      <c r="AC126" s="137">
        <f t="shared" si="52"/>
        <v>0</v>
      </c>
      <c r="AD126" s="137">
        <f t="shared" si="52"/>
        <v>0</v>
      </c>
      <c r="AE126" s="137">
        <f t="shared" si="52"/>
        <v>0</v>
      </c>
      <c r="AF126" s="137">
        <f t="shared" si="52"/>
        <v>0</v>
      </c>
      <c r="AG126" s="137">
        <f t="shared" si="52"/>
        <v>0</v>
      </c>
      <c r="AH126" s="137">
        <f t="shared" si="52"/>
        <v>0</v>
      </c>
      <c r="AI126" s="137">
        <f t="shared" si="52"/>
        <v>0</v>
      </c>
      <c r="AJ126" s="137">
        <f t="shared" si="52"/>
        <v>0</v>
      </c>
    </row>
    <row r="127" spans="1:36" s="21" customFormat="1" ht="15" outlineLevel="1" x14ac:dyDescent="0.2">
      <c r="A127" s="19"/>
      <c r="B127" s="19"/>
      <c r="C127" s="19"/>
      <c r="D127" s="20"/>
      <c r="E127" s="20"/>
      <c r="F127" s="2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 s="21" customFormat="1" ht="15" outlineLevel="1" x14ac:dyDescent="0.2">
      <c r="A128" s="136" t="str">
        <f>A114</f>
        <v>Class C</v>
      </c>
      <c r="B128" s="19"/>
      <c r="C128" s="19"/>
      <c r="D128" s="20"/>
      <c r="E128" s="20"/>
      <c r="F128" s="20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 s="21" customFormat="1" outlineLevel="1" x14ac:dyDescent="0.15">
      <c r="A129" s="19" t="s">
        <v>82</v>
      </c>
      <c r="B129" s="19"/>
      <c r="C129" s="19"/>
      <c r="D129" s="20"/>
      <c r="E129" s="20"/>
      <c r="F129" s="20"/>
      <c r="G129" s="138">
        <f>C114*$K$21</f>
        <v>979505.98144022655</v>
      </c>
      <c r="H129" s="46">
        <f>G131</f>
        <v>930530.68236821517</v>
      </c>
      <c r="I129" s="46">
        <f t="shared" ref="I129:AJ129" si="53">H131</f>
        <v>881555.3832962038</v>
      </c>
      <c r="J129" s="46">
        <f t="shared" si="53"/>
        <v>832580.08422419243</v>
      </c>
      <c r="K129" s="46">
        <f t="shared" si="53"/>
        <v>783604.78515218105</v>
      </c>
      <c r="L129" s="46">
        <f t="shared" si="53"/>
        <v>734629.48608016968</v>
      </c>
      <c r="M129" s="46">
        <f t="shared" si="53"/>
        <v>685654.1870081583</v>
      </c>
      <c r="N129" s="46">
        <f t="shared" si="53"/>
        <v>636678.88793614693</v>
      </c>
      <c r="O129" s="46">
        <f t="shared" si="53"/>
        <v>587703.58886413556</v>
      </c>
      <c r="P129" s="46">
        <f t="shared" si="53"/>
        <v>538728.28979212418</v>
      </c>
      <c r="Q129" s="46">
        <f t="shared" si="53"/>
        <v>489752.99072011287</v>
      </c>
      <c r="R129" s="46">
        <f t="shared" si="53"/>
        <v>440777.69164810155</v>
      </c>
      <c r="S129" s="46">
        <f t="shared" si="53"/>
        <v>391802.39257609023</v>
      </c>
      <c r="T129" s="46">
        <f t="shared" si="53"/>
        <v>342827.09350407892</v>
      </c>
      <c r="U129" s="46">
        <f t="shared" si="53"/>
        <v>293851.7944320676</v>
      </c>
      <c r="V129" s="46">
        <f t="shared" si="53"/>
        <v>244876.49536005629</v>
      </c>
      <c r="W129" s="46">
        <f t="shared" si="53"/>
        <v>195901.19628804497</v>
      </c>
      <c r="X129" s="46">
        <f t="shared" si="53"/>
        <v>146925.89721603366</v>
      </c>
      <c r="Y129" s="46">
        <f t="shared" si="53"/>
        <v>97950.598144022326</v>
      </c>
      <c r="Z129" s="46">
        <f t="shared" si="53"/>
        <v>48975.299072010996</v>
      </c>
      <c r="AA129" s="46">
        <f t="shared" si="53"/>
        <v>0</v>
      </c>
      <c r="AB129" s="46">
        <f t="shared" si="53"/>
        <v>0</v>
      </c>
      <c r="AC129" s="46">
        <f t="shared" si="53"/>
        <v>0</v>
      </c>
      <c r="AD129" s="46">
        <f t="shared" si="53"/>
        <v>0</v>
      </c>
      <c r="AE129" s="46">
        <f t="shared" si="53"/>
        <v>0</v>
      </c>
      <c r="AF129" s="46">
        <f t="shared" si="53"/>
        <v>0</v>
      </c>
      <c r="AG129" s="46">
        <f t="shared" si="53"/>
        <v>0</v>
      </c>
      <c r="AH129" s="46">
        <f t="shared" si="53"/>
        <v>0</v>
      </c>
      <c r="AI129" s="46">
        <f t="shared" si="53"/>
        <v>0</v>
      </c>
      <c r="AJ129" s="46">
        <f t="shared" si="53"/>
        <v>0</v>
      </c>
    </row>
    <row r="130" spans="1:36" s="21" customFormat="1" outlineLevel="1" x14ac:dyDescent="0.15">
      <c r="A130" s="19" t="s">
        <v>84</v>
      </c>
      <c r="B130" s="19"/>
      <c r="C130" s="19"/>
      <c r="D130" s="20"/>
      <c r="E130" s="20"/>
      <c r="F130" s="20"/>
      <c r="G130" s="139">
        <f>MIN($D$114*$G$129,G129)</f>
        <v>48975.29907201133</v>
      </c>
      <c r="H130" s="137">
        <f>MIN($D$114*$G$129,H129)</f>
        <v>48975.29907201133</v>
      </c>
      <c r="I130" s="137">
        <f t="shared" ref="I130:AJ130" si="54">MIN($D$114*$G$129,I129)</f>
        <v>48975.29907201133</v>
      </c>
      <c r="J130" s="137">
        <f t="shared" si="54"/>
        <v>48975.29907201133</v>
      </c>
      <c r="K130" s="137">
        <f t="shared" si="54"/>
        <v>48975.29907201133</v>
      </c>
      <c r="L130" s="137">
        <f t="shared" si="54"/>
        <v>48975.29907201133</v>
      </c>
      <c r="M130" s="137">
        <f t="shared" si="54"/>
        <v>48975.29907201133</v>
      </c>
      <c r="N130" s="137">
        <f t="shared" si="54"/>
        <v>48975.29907201133</v>
      </c>
      <c r="O130" s="137">
        <f t="shared" si="54"/>
        <v>48975.29907201133</v>
      </c>
      <c r="P130" s="137">
        <f t="shared" si="54"/>
        <v>48975.29907201133</v>
      </c>
      <c r="Q130" s="137">
        <f t="shared" si="54"/>
        <v>48975.29907201133</v>
      </c>
      <c r="R130" s="137">
        <f t="shared" si="54"/>
        <v>48975.29907201133</v>
      </c>
      <c r="S130" s="137">
        <f t="shared" si="54"/>
        <v>48975.29907201133</v>
      </c>
      <c r="T130" s="137">
        <f t="shared" si="54"/>
        <v>48975.29907201133</v>
      </c>
      <c r="U130" s="137">
        <f t="shared" si="54"/>
        <v>48975.29907201133</v>
      </c>
      <c r="V130" s="137">
        <f t="shared" si="54"/>
        <v>48975.29907201133</v>
      </c>
      <c r="W130" s="137">
        <f t="shared" si="54"/>
        <v>48975.29907201133</v>
      </c>
      <c r="X130" s="137">
        <f t="shared" si="54"/>
        <v>48975.29907201133</v>
      </c>
      <c r="Y130" s="137">
        <f t="shared" si="54"/>
        <v>48975.29907201133</v>
      </c>
      <c r="Z130" s="137">
        <f t="shared" si="54"/>
        <v>48975.299072010996</v>
      </c>
      <c r="AA130" s="137">
        <f t="shared" si="54"/>
        <v>0</v>
      </c>
      <c r="AB130" s="137">
        <f t="shared" si="54"/>
        <v>0</v>
      </c>
      <c r="AC130" s="137">
        <f t="shared" si="54"/>
        <v>0</v>
      </c>
      <c r="AD130" s="137">
        <f t="shared" si="54"/>
        <v>0</v>
      </c>
      <c r="AE130" s="137">
        <f t="shared" si="54"/>
        <v>0</v>
      </c>
      <c r="AF130" s="137">
        <f t="shared" si="54"/>
        <v>0</v>
      </c>
      <c r="AG130" s="137">
        <f t="shared" si="54"/>
        <v>0</v>
      </c>
      <c r="AH130" s="137">
        <f t="shared" si="54"/>
        <v>0</v>
      </c>
      <c r="AI130" s="137">
        <f t="shared" si="54"/>
        <v>0</v>
      </c>
      <c r="AJ130" s="137">
        <f t="shared" si="54"/>
        <v>0</v>
      </c>
    </row>
    <row r="131" spans="1:36" s="21" customFormat="1" outlineLevel="1" x14ac:dyDescent="0.15">
      <c r="A131" s="19" t="s">
        <v>85</v>
      </c>
      <c r="B131" s="19"/>
      <c r="C131" s="19"/>
      <c r="D131" s="20"/>
      <c r="E131" s="20"/>
      <c r="F131" s="20"/>
      <c r="G131" s="139">
        <f>G129-G130</f>
        <v>930530.68236821517</v>
      </c>
      <c r="H131" s="137">
        <f>H129-H130</f>
        <v>881555.3832962038</v>
      </c>
      <c r="I131" s="137">
        <f t="shared" ref="I131:AJ131" si="55">I129-I130</f>
        <v>832580.08422419243</v>
      </c>
      <c r="J131" s="137">
        <f t="shared" si="55"/>
        <v>783604.78515218105</v>
      </c>
      <c r="K131" s="137">
        <f t="shared" si="55"/>
        <v>734629.48608016968</v>
      </c>
      <c r="L131" s="137">
        <f t="shared" si="55"/>
        <v>685654.1870081583</v>
      </c>
      <c r="M131" s="137">
        <f t="shared" si="55"/>
        <v>636678.88793614693</v>
      </c>
      <c r="N131" s="137">
        <f t="shared" si="55"/>
        <v>587703.58886413556</v>
      </c>
      <c r="O131" s="137">
        <f t="shared" si="55"/>
        <v>538728.28979212418</v>
      </c>
      <c r="P131" s="137">
        <f t="shared" si="55"/>
        <v>489752.99072011287</v>
      </c>
      <c r="Q131" s="137">
        <f t="shared" si="55"/>
        <v>440777.69164810155</v>
      </c>
      <c r="R131" s="137">
        <f t="shared" si="55"/>
        <v>391802.39257609023</v>
      </c>
      <c r="S131" s="137">
        <f t="shared" si="55"/>
        <v>342827.09350407892</v>
      </c>
      <c r="T131" s="137">
        <f t="shared" si="55"/>
        <v>293851.7944320676</v>
      </c>
      <c r="U131" s="137">
        <f t="shared" si="55"/>
        <v>244876.49536005629</v>
      </c>
      <c r="V131" s="137">
        <f t="shared" si="55"/>
        <v>195901.19628804497</v>
      </c>
      <c r="W131" s="137">
        <f t="shared" si="55"/>
        <v>146925.89721603366</v>
      </c>
      <c r="X131" s="137">
        <f t="shared" si="55"/>
        <v>97950.598144022326</v>
      </c>
      <c r="Y131" s="137">
        <f t="shared" si="55"/>
        <v>48975.299072010996</v>
      </c>
      <c r="Z131" s="137">
        <f t="shared" si="55"/>
        <v>0</v>
      </c>
      <c r="AA131" s="137">
        <f t="shared" si="55"/>
        <v>0</v>
      </c>
      <c r="AB131" s="137">
        <f t="shared" si="55"/>
        <v>0</v>
      </c>
      <c r="AC131" s="137">
        <f t="shared" si="55"/>
        <v>0</v>
      </c>
      <c r="AD131" s="137">
        <f t="shared" si="55"/>
        <v>0</v>
      </c>
      <c r="AE131" s="137">
        <f t="shared" si="55"/>
        <v>0</v>
      </c>
      <c r="AF131" s="137">
        <f t="shared" si="55"/>
        <v>0</v>
      </c>
      <c r="AG131" s="137">
        <f t="shared" si="55"/>
        <v>0</v>
      </c>
      <c r="AH131" s="137">
        <f t="shared" si="55"/>
        <v>0</v>
      </c>
      <c r="AI131" s="137">
        <f t="shared" si="55"/>
        <v>0</v>
      </c>
      <c r="AJ131" s="137">
        <f t="shared" si="55"/>
        <v>0</v>
      </c>
    </row>
    <row r="132" spans="1:36" s="21" customFormat="1" ht="15" outlineLevel="1" x14ac:dyDescent="0.2">
      <c r="A132" s="19"/>
      <c r="B132" s="19"/>
      <c r="C132" s="19"/>
      <c r="D132" s="20"/>
      <c r="E132" s="20"/>
      <c r="F132" s="20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 s="21" customFormat="1" ht="15" outlineLevel="1" x14ac:dyDescent="0.2">
      <c r="A133" s="136" t="str">
        <f>A115</f>
        <v>Class D</v>
      </c>
      <c r="B133" s="19"/>
      <c r="C133" s="19"/>
      <c r="D133" s="20"/>
      <c r="E133" s="20"/>
      <c r="F133" s="20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s="21" customFormat="1" outlineLevel="1" x14ac:dyDescent="0.15">
      <c r="A134" s="19" t="s">
        <v>82</v>
      </c>
      <c r="B134" s="19"/>
      <c r="C134" s="19"/>
      <c r="D134" s="20"/>
      <c r="E134" s="20"/>
      <c r="F134" s="20"/>
      <c r="G134" s="138">
        <f>C115*$K$21</f>
        <v>175718.11906765564</v>
      </c>
      <c r="H134" s="46">
        <f>G136</f>
        <v>158146.30716089008</v>
      </c>
      <c r="I134" s="46">
        <f t="shared" ref="I134:AJ134" si="56">H136</f>
        <v>140574.49525412451</v>
      </c>
      <c r="J134" s="46">
        <f t="shared" si="56"/>
        <v>123002.68334735895</v>
      </c>
      <c r="K134" s="46">
        <f t="shared" si="56"/>
        <v>105430.87144059339</v>
      </c>
      <c r="L134" s="46">
        <f t="shared" si="56"/>
        <v>87859.059533827822</v>
      </c>
      <c r="M134" s="46">
        <f t="shared" si="56"/>
        <v>70287.247627062257</v>
      </c>
      <c r="N134" s="46">
        <f t="shared" si="56"/>
        <v>52715.435720296693</v>
      </c>
      <c r="O134" s="46">
        <f t="shared" si="56"/>
        <v>35143.623813531129</v>
      </c>
      <c r="P134" s="46">
        <f t="shared" si="56"/>
        <v>17571.811906765564</v>
      </c>
      <c r="Q134" s="46">
        <f t="shared" si="56"/>
        <v>0</v>
      </c>
      <c r="R134" s="46">
        <f t="shared" si="56"/>
        <v>0</v>
      </c>
      <c r="S134" s="46">
        <f t="shared" si="56"/>
        <v>0</v>
      </c>
      <c r="T134" s="46">
        <f t="shared" si="56"/>
        <v>0</v>
      </c>
      <c r="U134" s="46">
        <f t="shared" si="56"/>
        <v>0</v>
      </c>
      <c r="V134" s="46">
        <f t="shared" si="56"/>
        <v>0</v>
      </c>
      <c r="W134" s="46">
        <f t="shared" si="56"/>
        <v>0</v>
      </c>
      <c r="X134" s="46">
        <f t="shared" si="56"/>
        <v>0</v>
      </c>
      <c r="Y134" s="46">
        <f t="shared" si="56"/>
        <v>0</v>
      </c>
      <c r="Z134" s="46">
        <f t="shared" si="56"/>
        <v>0</v>
      </c>
      <c r="AA134" s="46">
        <f t="shared" si="56"/>
        <v>0</v>
      </c>
      <c r="AB134" s="46">
        <f t="shared" si="56"/>
        <v>0</v>
      </c>
      <c r="AC134" s="46">
        <f t="shared" si="56"/>
        <v>0</v>
      </c>
      <c r="AD134" s="46">
        <f t="shared" si="56"/>
        <v>0</v>
      </c>
      <c r="AE134" s="46">
        <f t="shared" si="56"/>
        <v>0</v>
      </c>
      <c r="AF134" s="46">
        <f t="shared" si="56"/>
        <v>0</v>
      </c>
      <c r="AG134" s="46">
        <f t="shared" si="56"/>
        <v>0</v>
      </c>
      <c r="AH134" s="46">
        <f t="shared" si="56"/>
        <v>0</v>
      </c>
      <c r="AI134" s="46">
        <f t="shared" si="56"/>
        <v>0</v>
      </c>
      <c r="AJ134" s="46">
        <f t="shared" si="56"/>
        <v>0</v>
      </c>
    </row>
    <row r="135" spans="1:36" s="21" customFormat="1" outlineLevel="1" x14ac:dyDescent="0.15">
      <c r="A135" s="19" t="s">
        <v>84</v>
      </c>
      <c r="B135" s="19"/>
      <c r="C135" s="19"/>
      <c r="D135" s="20"/>
      <c r="E135" s="20"/>
      <c r="F135" s="20"/>
      <c r="G135" s="139">
        <f>MIN($D$115*$G$134,G134)</f>
        <v>17571.811906765564</v>
      </c>
      <c r="H135" s="137">
        <f>MIN($D$115*$G$134,H134)</f>
        <v>17571.811906765564</v>
      </c>
      <c r="I135" s="137">
        <f t="shared" ref="I135:AJ135" si="57">MIN($D$115*$G$134,I134)</f>
        <v>17571.811906765564</v>
      </c>
      <c r="J135" s="137">
        <f t="shared" si="57"/>
        <v>17571.811906765564</v>
      </c>
      <c r="K135" s="137">
        <f t="shared" si="57"/>
        <v>17571.811906765564</v>
      </c>
      <c r="L135" s="137">
        <f t="shared" si="57"/>
        <v>17571.811906765564</v>
      </c>
      <c r="M135" s="137">
        <f t="shared" si="57"/>
        <v>17571.811906765564</v>
      </c>
      <c r="N135" s="137">
        <f t="shared" si="57"/>
        <v>17571.811906765564</v>
      </c>
      <c r="O135" s="137">
        <f t="shared" si="57"/>
        <v>17571.811906765564</v>
      </c>
      <c r="P135" s="137">
        <f t="shared" si="57"/>
        <v>17571.811906765564</v>
      </c>
      <c r="Q135" s="137">
        <f t="shared" si="57"/>
        <v>0</v>
      </c>
      <c r="R135" s="137">
        <f t="shared" si="57"/>
        <v>0</v>
      </c>
      <c r="S135" s="137">
        <f t="shared" si="57"/>
        <v>0</v>
      </c>
      <c r="T135" s="137">
        <f t="shared" si="57"/>
        <v>0</v>
      </c>
      <c r="U135" s="137">
        <f t="shared" si="57"/>
        <v>0</v>
      </c>
      <c r="V135" s="137">
        <f t="shared" si="57"/>
        <v>0</v>
      </c>
      <c r="W135" s="137">
        <f t="shared" si="57"/>
        <v>0</v>
      </c>
      <c r="X135" s="137">
        <f t="shared" si="57"/>
        <v>0</v>
      </c>
      <c r="Y135" s="137">
        <f t="shared" si="57"/>
        <v>0</v>
      </c>
      <c r="Z135" s="137">
        <f t="shared" si="57"/>
        <v>0</v>
      </c>
      <c r="AA135" s="137">
        <f t="shared" si="57"/>
        <v>0</v>
      </c>
      <c r="AB135" s="137">
        <f t="shared" si="57"/>
        <v>0</v>
      </c>
      <c r="AC135" s="137">
        <f t="shared" si="57"/>
        <v>0</v>
      </c>
      <c r="AD135" s="137">
        <f t="shared" si="57"/>
        <v>0</v>
      </c>
      <c r="AE135" s="137">
        <f t="shared" si="57"/>
        <v>0</v>
      </c>
      <c r="AF135" s="137">
        <f t="shared" si="57"/>
        <v>0</v>
      </c>
      <c r="AG135" s="137">
        <f t="shared" si="57"/>
        <v>0</v>
      </c>
      <c r="AH135" s="137">
        <f t="shared" si="57"/>
        <v>0</v>
      </c>
      <c r="AI135" s="137">
        <f t="shared" si="57"/>
        <v>0</v>
      </c>
      <c r="AJ135" s="137">
        <f t="shared" si="57"/>
        <v>0</v>
      </c>
    </row>
    <row r="136" spans="1:36" s="21" customFormat="1" outlineLevel="1" x14ac:dyDescent="0.15">
      <c r="A136" s="19" t="s">
        <v>85</v>
      </c>
      <c r="B136" s="19"/>
      <c r="C136" s="19"/>
      <c r="D136" s="20"/>
      <c r="E136" s="20"/>
      <c r="F136" s="20"/>
      <c r="G136" s="139">
        <f>G134-G135</f>
        <v>158146.30716089008</v>
      </c>
      <c r="H136" s="137">
        <f>H134-H135</f>
        <v>140574.49525412451</v>
      </c>
      <c r="I136" s="137">
        <f t="shared" ref="I136:AJ136" si="58">I134-I135</f>
        <v>123002.68334735895</v>
      </c>
      <c r="J136" s="137">
        <f t="shared" si="58"/>
        <v>105430.87144059339</v>
      </c>
      <c r="K136" s="137">
        <f t="shared" si="58"/>
        <v>87859.059533827822</v>
      </c>
      <c r="L136" s="137">
        <f t="shared" si="58"/>
        <v>70287.247627062257</v>
      </c>
      <c r="M136" s="137">
        <f t="shared" si="58"/>
        <v>52715.435720296693</v>
      </c>
      <c r="N136" s="137">
        <f t="shared" si="58"/>
        <v>35143.623813531129</v>
      </c>
      <c r="O136" s="137">
        <f t="shared" si="58"/>
        <v>17571.811906765564</v>
      </c>
      <c r="P136" s="137">
        <f t="shared" si="58"/>
        <v>0</v>
      </c>
      <c r="Q136" s="137">
        <f t="shared" si="58"/>
        <v>0</v>
      </c>
      <c r="R136" s="137">
        <f t="shared" si="58"/>
        <v>0</v>
      </c>
      <c r="S136" s="137">
        <f t="shared" si="58"/>
        <v>0</v>
      </c>
      <c r="T136" s="137">
        <f t="shared" si="58"/>
        <v>0</v>
      </c>
      <c r="U136" s="137">
        <f t="shared" si="58"/>
        <v>0</v>
      </c>
      <c r="V136" s="137">
        <f t="shared" si="58"/>
        <v>0</v>
      </c>
      <c r="W136" s="137">
        <f t="shared" si="58"/>
        <v>0</v>
      </c>
      <c r="X136" s="137">
        <f t="shared" si="58"/>
        <v>0</v>
      </c>
      <c r="Y136" s="137">
        <f t="shared" si="58"/>
        <v>0</v>
      </c>
      <c r="Z136" s="137">
        <f t="shared" si="58"/>
        <v>0</v>
      </c>
      <c r="AA136" s="137">
        <f t="shared" si="58"/>
        <v>0</v>
      </c>
      <c r="AB136" s="137">
        <f t="shared" si="58"/>
        <v>0</v>
      </c>
      <c r="AC136" s="137">
        <f t="shared" si="58"/>
        <v>0</v>
      </c>
      <c r="AD136" s="137">
        <f t="shared" si="58"/>
        <v>0</v>
      </c>
      <c r="AE136" s="137">
        <f t="shared" si="58"/>
        <v>0</v>
      </c>
      <c r="AF136" s="137">
        <f t="shared" si="58"/>
        <v>0</v>
      </c>
      <c r="AG136" s="137">
        <f t="shared" si="58"/>
        <v>0</v>
      </c>
      <c r="AH136" s="137">
        <f t="shared" si="58"/>
        <v>0</v>
      </c>
      <c r="AI136" s="137">
        <f t="shared" si="58"/>
        <v>0</v>
      </c>
      <c r="AJ136" s="137">
        <f t="shared" si="58"/>
        <v>0</v>
      </c>
    </row>
    <row r="137" spans="1:36" s="21" customFormat="1" ht="15" outlineLevel="1" x14ac:dyDescent="0.2">
      <c r="A137" s="19"/>
      <c r="B137" s="19"/>
      <c r="C137" s="19"/>
      <c r="D137" s="20"/>
      <c r="E137" s="20"/>
      <c r="F137" s="20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s="21" customFormat="1" ht="15" outlineLevel="1" x14ac:dyDescent="0.2">
      <c r="A138" s="136" t="str">
        <f>A116</f>
        <v>Class E</v>
      </c>
      <c r="B138" s="19"/>
      <c r="C138" s="19"/>
      <c r="D138" s="20"/>
      <c r="E138" s="20"/>
      <c r="F138" s="2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s="21" customFormat="1" outlineLevel="1" x14ac:dyDescent="0.15">
      <c r="A139" s="19" t="s">
        <v>82</v>
      </c>
      <c r="B139" s="19"/>
      <c r="C139" s="19"/>
      <c r="D139" s="20"/>
      <c r="E139" s="20"/>
      <c r="F139" s="20"/>
      <c r="G139" s="138">
        <f>C116*$K$21</f>
        <v>28337902.286429916</v>
      </c>
      <c r="H139" s="46">
        <f>G141</f>
        <v>21253426.714822438</v>
      </c>
      <c r="I139" s="46">
        <f t="shared" ref="I139:AJ139" si="59">H141</f>
        <v>14168951.14321496</v>
      </c>
      <c r="J139" s="46">
        <f t="shared" si="59"/>
        <v>7084475.5716074808</v>
      </c>
      <c r="K139" s="46">
        <f t="shared" si="59"/>
        <v>0</v>
      </c>
      <c r="L139" s="46">
        <f t="shared" si="59"/>
        <v>0</v>
      </c>
      <c r="M139" s="46">
        <f t="shared" si="59"/>
        <v>0</v>
      </c>
      <c r="N139" s="46">
        <f t="shared" si="59"/>
        <v>0</v>
      </c>
      <c r="O139" s="46">
        <f t="shared" si="59"/>
        <v>0</v>
      </c>
      <c r="P139" s="46">
        <f t="shared" si="59"/>
        <v>0</v>
      </c>
      <c r="Q139" s="46">
        <f t="shared" si="59"/>
        <v>0</v>
      </c>
      <c r="R139" s="46">
        <f t="shared" si="59"/>
        <v>0</v>
      </c>
      <c r="S139" s="46">
        <f t="shared" si="59"/>
        <v>0</v>
      </c>
      <c r="T139" s="46">
        <f t="shared" si="59"/>
        <v>0</v>
      </c>
      <c r="U139" s="46">
        <f t="shared" si="59"/>
        <v>0</v>
      </c>
      <c r="V139" s="46">
        <f t="shared" si="59"/>
        <v>0</v>
      </c>
      <c r="W139" s="46">
        <f t="shared" si="59"/>
        <v>0</v>
      </c>
      <c r="X139" s="46">
        <f t="shared" si="59"/>
        <v>0</v>
      </c>
      <c r="Y139" s="46">
        <f t="shared" si="59"/>
        <v>0</v>
      </c>
      <c r="Z139" s="46">
        <f t="shared" si="59"/>
        <v>0</v>
      </c>
      <c r="AA139" s="46">
        <f t="shared" si="59"/>
        <v>0</v>
      </c>
      <c r="AB139" s="46">
        <f t="shared" si="59"/>
        <v>0</v>
      </c>
      <c r="AC139" s="46">
        <f t="shared" si="59"/>
        <v>0</v>
      </c>
      <c r="AD139" s="46">
        <f t="shared" si="59"/>
        <v>0</v>
      </c>
      <c r="AE139" s="46">
        <f t="shared" si="59"/>
        <v>0</v>
      </c>
      <c r="AF139" s="46">
        <f t="shared" si="59"/>
        <v>0</v>
      </c>
      <c r="AG139" s="46">
        <f t="shared" si="59"/>
        <v>0</v>
      </c>
      <c r="AH139" s="46">
        <f t="shared" si="59"/>
        <v>0</v>
      </c>
      <c r="AI139" s="46">
        <f t="shared" si="59"/>
        <v>0</v>
      </c>
      <c r="AJ139" s="46">
        <f t="shared" si="59"/>
        <v>0</v>
      </c>
    </row>
    <row r="140" spans="1:36" s="21" customFormat="1" outlineLevel="1" x14ac:dyDescent="0.15">
      <c r="A140" s="19" t="s">
        <v>84</v>
      </c>
      <c r="B140" s="19"/>
      <c r="C140" s="19"/>
      <c r="D140" s="20"/>
      <c r="E140" s="20"/>
      <c r="F140" s="20"/>
      <c r="G140" s="139">
        <f>MIN($D$116*$G$139,G139)</f>
        <v>7084475.5716074789</v>
      </c>
      <c r="H140" s="137">
        <f>MIN($D$116*$G$139,H139)</f>
        <v>7084475.5716074789</v>
      </c>
      <c r="I140" s="137">
        <f t="shared" ref="I140:AJ140" si="60">MIN($D$116*$G$139,I139)</f>
        <v>7084475.5716074789</v>
      </c>
      <c r="J140" s="137">
        <f t="shared" si="60"/>
        <v>7084475.5716074789</v>
      </c>
      <c r="K140" s="137">
        <f t="shared" si="60"/>
        <v>0</v>
      </c>
      <c r="L140" s="137">
        <f t="shared" si="60"/>
        <v>0</v>
      </c>
      <c r="M140" s="137">
        <f t="shared" si="60"/>
        <v>0</v>
      </c>
      <c r="N140" s="137">
        <f t="shared" si="60"/>
        <v>0</v>
      </c>
      <c r="O140" s="137">
        <f t="shared" si="60"/>
        <v>0</v>
      </c>
      <c r="P140" s="137">
        <f t="shared" si="60"/>
        <v>0</v>
      </c>
      <c r="Q140" s="137">
        <f t="shared" si="60"/>
        <v>0</v>
      </c>
      <c r="R140" s="137">
        <f t="shared" si="60"/>
        <v>0</v>
      </c>
      <c r="S140" s="137">
        <f t="shared" si="60"/>
        <v>0</v>
      </c>
      <c r="T140" s="137">
        <f t="shared" si="60"/>
        <v>0</v>
      </c>
      <c r="U140" s="137">
        <f t="shared" si="60"/>
        <v>0</v>
      </c>
      <c r="V140" s="137">
        <f t="shared" si="60"/>
        <v>0</v>
      </c>
      <c r="W140" s="137">
        <f t="shared" si="60"/>
        <v>0</v>
      </c>
      <c r="X140" s="137">
        <f t="shared" si="60"/>
        <v>0</v>
      </c>
      <c r="Y140" s="137">
        <f t="shared" si="60"/>
        <v>0</v>
      </c>
      <c r="Z140" s="137">
        <f t="shared" si="60"/>
        <v>0</v>
      </c>
      <c r="AA140" s="137">
        <f t="shared" si="60"/>
        <v>0</v>
      </c>
      <c r="AB140" s="137">
        <f t="shared" si="60"/>
        <v>0</v>
      </c>
      <c r="AC140" s="137">
        <f t="shared" si="60"/>
        <v>0</v>
      </c>
      <c r="AD140" s="137">
        <f t="shared" si="60"/>
        <v>0</v>
      </c>
      <c r="AE140" s="137">
        <f t="shared" si="60"/>
        <v>0</v>
      </c>
      <c r="AF140" s="137">
        <f t="shared" si="60"/>
        <v>0</v>
      </c>
      <c r="AG140" s="137">
        <f t="shared" si="60"/>
        <v>0</v>
      </c>
      <c r="AH140" s="137">
        <f t="shared" si="60"/>
        <v>0</v>
      </c>
      <c r="AI140" s="137">
        <f t="shared" si="60"/>
        <v>0</v>
      </c>
      <c r="AJ140" s="137">
        <f t="shared" si="60"/>
        <v>0</v>
      </c>
    </row>
    <row r="141" spans="1:36" s="21" customFormat="1" outlineLevel="1" x14ac:dyDescent="0.15">
      <c r="A141" s="19" t="s">
        <v>85</v>
      </c>
      <c r="B141" s="19"/>
      <c r="C141" s="19"/>
      <c r="D141" s="20"/>
      <c r="E141" s="20"/>
      <c r="F141" s="20"/>
      <c r="G141" s="139">
        <f>G139-G140</f>
        <v>21253426.714822438</v>
      </c>
      <c r="H141" s="137">
        <f>H139-H140</f>
        <v>14168951.14321496</v>
      </c>
      <c r="I141" s="137">
        <f t="shared" ref="I141:AJ141" si="61">I139-I140</f>
        <v>7084475.5716074808</v>
      </c>
      <c r="J141" s="137">
        <f t="shared" si="61"/>
        <v>0</v>
      </c>
      <c r="K141" s="137">
        <f t="shared" si="61"/>
        <v>0</v>
      </c>
      <c r="L141" s="137">
        <f t="shared" si="61"/>
        <v>0</v>
      </c>
      <c r="M141" s="137">
        <f t="shared" si="61"/>
        <v>0</v>
      </c>
      <c r="N141" s="137">
        <f t="shared" si="61"/>
        <v>0</v>
      </c>
      <c r="O141" s="137">
        <f t="shared" si="61"/>
        <v>0</v>
      </c>
      <c r="P141" s="137">
        <f t="shared" si="61"/>
        <v>0</v>
      </c>
      <c r="Q141" s="137">
        <f t="shared" si="61"/>
        <v>0</v>
      </c>
      <c r="R141" s="137">
        <f t="shared" si="61"/>
        <v>0</v>
      </c>
      <c r="S141" s="137">
        <f t="shared" si="61"/>
        <v>0</v>
      </c>
      <c r="T141" s="137">
        <f t="shared" si="61"/>
        <v>0</v>
      </c>
      <c r="U141" s="137">
        <f t="shared" si="61"/>
        <v>0</v>
      </c>
      <c r="V141" s="137">
        <f t="shared" si="61"/>
        <v>0</v>
      </c>
      <c r="W141" s="137">
        <f t="shared" si="61"/>
        <v>0</v>
      </c>
      <c r="X141" s="137">
        <f t="shared" si="61"/>
        <v>0</v>
      </c>
      <c r="Y141" s="137">
        <f t="shared" si="61"/>
        <v>0</v>
      </c>
      <c r="Z141" s="137">
        <f t="shared" si="61"/>
        <v>0</v>
      </c>
      <c r="AA141" s="137">
        <f t="shared" si="61"/>
        <v>0</v>
      </c>
      <c r="AB141" s="137">
        <f t="shared" si="61"/>
        <v>0</v>
      </c>
      <c r="AC141" s="137">
        <f t="shared" si="61"/>
        <v>0</v>
      </c>
      <c r="AD141" s="137">
        <f t="shared" si="61"/>
        <v>0</v>
      </c>
      <c r="AE141" s="137">
        <f t="shared" si="61"/>
        <v>0</v>
      </c>
      <c r="AF141" s="137">
        <f t="shared" si="61"/>
        <v>0</v>
      </c>
      <c r="AG141" s="137">
        <f t="shared" si="61"/>
        <v>0</v>
      </c>
      <c r="AH141" s="137">
        <f t="shared" si="61"/>
        <v>0</v>
      </c>
      <c r="AI141" s="137">
        <f t="shared" si="61"/>
        <v>0</v>
      </c>
      <c r="AJ141" s="137">
        <f t="shared" si="61"/>
        <v>0</v>
      </c>
    </row>
    <row r="142" spans="1:36" s="21" customFormat="1" ht="15" outlineLevel="1" x14ac:dyDescent="0.2">
      <c r="A142" s="19"/>
      <c r="B142" s="19"/>
      <c r="C142" s="19"/>
      <c r="D142" s="20"/>
      <c r="E142" s="20"/>
      <c r="F142" s="20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s="21" customFormat="1" outlineLevel="1" x14ac:dyDescent="0.15">
      <c r="A143" s="19" t="s">
        <v>86</v>
      </c>
      <c r="B143" s="19"/>
      <c r="C143" s="19"/>
      <c r="D143" s="20"/>
      <c r="E143" s="20"/>
      <c r="F143" s="20"/>
      <c r="G143" s="212">
        <f>SUM(G140,G135,G130,G125,G120)</f>
        <v>7154332.7192883408</v>
      </c>
      <c r="H143" s="219">
        <f t="shared" ref="H143:AJ143" si="62">SUM(H140,H135,H130,H125,H120)</f>
        <v>7154332.7192883408</v>
      </c>
      <c r="I143" s="219">
        <f t="shared" si="62"/>
        <v>7154332.7192883408</v>
      </c>
      <c r="J143" s="219">
        <f t="shared" si="62"/>
        <v>7154332.7192883408</v>
      </c>
      <c r="K143" s="219">
        <f t="shared" si="62"/>
        <v>69857.147680862283</v>
      </c>
      <c r="L143" s="219">
        <f t="shared" si="62"/>
        <v>69857.147680862283</v>
      </c>
      <c r="M143" s="219">
        <f t="shared" si="62"/>
        <v>69857.147680862283</v>
      </c>
      <c r="N143" s="219">
        <f t="shared" si="62"/>
        <v>69857.147680862283</v>
      </c>
      <c r="O143" s="219">
        <f t="shared" si="62"/>
        <v>69857.147680862283</v>
      </c>
      <c r="P143" s="219">
        <f t="shared" si="62"/>
        <v>69857.147680862283</v>
      </c>
      <c r="Q143" s="219">
        <f t="shared" si="62"/>
        <v>52285.335774096719</v>
      </c>
      <c r="R143" s="219">
        <f t="shared" si="62"/>
        <v>52285.335774096719</v>
      </c>
      <c r="S143" s="219">
        <f t="shared" si="62"/>
        <v>52285.335774096719</v>
      </c>
      <c r="T143" s="219">
        <f t="shared" si="62"/>
        <v>52285.335774096719</v>
      </c>
      <c r="U143" s="219">
        <f t="shared" si="62"/>
        <v>52285.335774096719</v>
      </c>
      <c r="V143" s="219">
        <f t="shared" si="62"/>
        <v>52285.335774096719</v>
      </c>
      <c r="W143" s="219">
        <f t="shared" si="62"/>
        <v>52285.335774096719</v>
      </c>
      <c r="X143" s="219">
        <f t="shared" si="62"/>
        <v>52285.335774096719</v>
      </c>
      <c r="Y143" s="219">
        <f t="shared" si="62"/>
        <v>52285.335774096719</v>
      </c>
      <c r="Z143" s="219">
        <f t="shared" si="62"/>
        <v>52285.335774096347</v>
      </c>
      <c r="AA143" s="219">
        <f t="shared" si="62"/>
        <v>0</v>
      </c>
      <c r="AB143" s="219">
        <f t="shared" si="62"/>
        <v>0</v>
      </c>
      <c r="AC143" s="219">
        <f t="shared" si="62"/>
        <v>0</v>
      </c>
      <c r="AD143" s="219">
        <f t="shared" si="62"/>
        <v>0</v>
      </c>
      <c r="AE143" s="219">
        <f t="shared" si="62"/>
        <v>0</v>
      </c>
      <c r="AF143" s="219">
        <f t="shared" si="62"/>
        <v>0</v>
      </c>
      <c r="AG143" s="219">
        <f t="shared" si="62"/>
        <v>0</v>
      </c>
      <c r="AH143" s="219">
        <f t="shared" si="62"/>
        <v>0</v>
      </c>
      <c r="AI143" s="219">
        <f t="shared" si="62"/>
        <v>0</v>
      </c>
      <c r="AJ143" s="219">
        <f t="shared" si="62"/>
        <v>0</v>
      </c>
    </row>
    <row r="144" spans="1:36" s="21" customFormat="1" ht="15" outlineLevel="1" x14ac:dyDescent="0.2">
      <c r="A144" s="19"/>
      <c r="B144" s="19"/>
      <c r="C144" s="19"/>
      <c r="D144" s="20"/>
      <c r="E144" s="20"/>
      <c r="F144" s="20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 s="21" customFormat="1" outlineLevel="1" x14ac:dyDescent="0.15">
      <c r="A145" s="24" t="s">
        <v>87</v>
      </c>
      <c r="B145" s="24"/>
      <c r="C145" s="24"/>
      <c r="D145" s="140"/>
      <c r="E145" s="140"/>
      <c r="F145" s="140"/>
      <c r="G145" s="143">
        <f>G73</f>
        <v>2843317.5000000005</v>
      </c>
      <c r="H145" s="144">
        <f t="shared" ref="H145:AJ145" si="63">H73</f>
        <v>2808573.4125000006</v>
      </c>
      <c r="I145" s="144">
        <f t="shared" si="63"/>
        <v>2773500.8850000007</v>
      </c>
      <c r="J145" s="144">
        <f t="shared" si="63"/>
        <v>2738093.3487</v>
      </c>
      <c r="K145" s="144">
        <f t="shared" si="63"/>
        <v>2702344.1034240006</v>
      </c>
      <c r="L145" s="144">
        <f t="shared" si="63"/>
        <v>2666246.3149924804</v>
      </c>
      <c r="M145" s="144">
        <f t="shared" si="63"/>
        <v>2629793.0125423302</v>
      </c>
      <c r="N145" s="144">
        <f t="shared" si="63"/>
        <v>2592977.0857931762</v>
      </c>
      <c r="O145" s="144">
        <f t="shared" si="63"/>
        <v>2555791.28225904</v>
      </c>
      <c r="P145" s="144">
        <f t="shared" si="63"/>
        <v>2518228.2044042209</v>
      </c>
      <c r="Q145" s="144">
        <f t="shared" si="63"/>
        <v>2480280.3067423054</v>
      </c>
      <c r="R145" s="144">
        <f t="shared" si="63"/>
        <v>2441939.8928771513</v>
      </c>
      <c r="S145" s="144">
        <f t="shared" si="63"/>
        <v>2403199.1124846945</v>
      </c>
      <c r="T145" s="144">
        <f t="shared" si="63"/>
        <v>2364049.9582343888</v>
      </c>
      <c r="U145" s="144">
        <f t="shared" si="63"/>
        <v>2324484.2626490761</v>
      </c>
      <c r="V145" s="144">
        <f t="shared" si="63"/>
        <v>2326888.5475592678</v>
      </c>
      <c r="W145" s="144">
        <f t="shared" si="63"/>
        <v>2287312.507260453</v>
      </c>
      <c r="X145" s="144">
        <f t="shared" si="63"/>
        <v>2247311.3879056619</v>
      </c>
      <c r="Y145" s="144">
        <f t="shared" si="63"/>
        <v>2206876.6879137754</v>
      </c>
      <c r="Z145" s="144">
        <f t="shared" si="63"/>
        <v>2165999.7356720511</v>
      </c>
      <c r="AA145" s="144">
        <f t="shared" si="63"/>
        <v>335338.69784662826</v>
      </c>
      <c r="AB145" s="144">
        <f t="shared" si="63"/>
        <v>301497.62180356076</v>
      </c>
      <c r="AC145" s="144">
        <f t="shared" si="63"/>
        <v>267156.01923963218</v>
      </c>
      <c r="AD145" s="144">
        <f t="shared" si="63"/>
        <v>232303.87962442497</v>
      </c>
      <c r="AE145" s="144">
        <f t="shared" si="63"/>
        <v>196930.99221691326</v>
      </c>
      <c r="AF145" s="144">
        <f t="shared" si="63"/>
        <v>161026.94206125126</v>
      </c>
      <c r="AG145" s="144">
        <f t="shared" si="63"/>
        <v>124581.10590247624</v>
      </c>
      <c r="AH145" s="144">
        <f t="shared" si="63"/>
        <v>87582.648020525929</v>
      </c>
      <c r="AI145" s="144">
        <f t="shared" si="63"/>
        <v>50020.515980936354</v>
      </c>
      <c r="AJ145" s="144">
        <f t="shared" si="63"/>
        <v>11883.436300555244</v>
      </c>
    </row>
    <row r="146" spans="1:36" s="21" customFormat="1" outlineLevel="1" x14ac:dyDescent="0.15">
      <c r="A146" s="19" t="s">
        <v>72</v>
      </c>
      <c r="B146" s="19"/>
      <c r="C146" s="19"/>
      <c r="D146" s="20"/>
      <c r="E146" s="20"/>
      <c r="F146" s="20"/>
      <c r="G146" s="141">
        <f>-G100</f>
        <v>-1100625.8466019882</v>
      </c>
      <c r="H146" s="29">
        <f t="shared" ref="H146:AJ146" si="64">-H100</f>
        <v>-1053868.4568023139</v>
      </c>
      <c r="I146" s="29">
        <f t="shared" si="64"/>
        <v>-1006133.5891686215</v>
      </c>
      <c r="J146" s="29">
        <f t="shared" si="64"/>
        <v>-957387.10391496238</v>
      </c>
      <c r="K146" s="29">
        <f t="shared" si="64"/>
        <v>-910080.05754829303</v>
      </c>
      <c r="L146" s="29">
        <f t="shared" si="64"/>
        <v>-856831.48134984367</v>
      </c>
      <c r="M146" s="29">
        <f t="shared" si="64"/>
        <v>-804836.77216064814</v>
      </c>
      <c r="N146" s="29">
        <f t="shared" si="64"/>
        <v>-751679.92274521594</v>
      </c>
      <c r="O146" s="29">
        <f t="shared" si="64"/>
        <v>-699229.84804123431</v>
      </c>
      <c r="P146" s="29">
        <f t="shared" si="64"/>
        <v>-641800.76107609831</v>
      </c>
      <c r="Q146" s="29">
        <f t="shared" si="64"/>
        <v>-584905.52498110267</v>
      </c>
      <c r="R146" s="29">
        <f t="shared" si="64"/>
        <v>-526671.75466048892</v>
      </c>
      <c r="S146" s="29">
        <f t="shared" si="64"/>
        <v>-468330.31931169279</v>
      </c>
      <c r="T146" s="29">
        <f t="shared" si="64"/>
        <v>-406051.22980439861</v>
      </c>
      <c r="U146" s="29">
        <f t="shared" si="64"/>
        <v>-343504.22454000748</v>
      </c>
      <c r="V146" s="29">
        <f t="shared" si="64"/>
        <v>-279411.60193431634</v>
      </c>
      <c r="W146" s="29">
        <f t="shared" si="64"/>
        <v>-212837.38101840019</v>
      </c>
      <c r="X146" s="29">
        <f t="shared" si="64"/>
        <v>-143367.5877533828</v>
      </c>
      <c r="Y146" s="29">
        <f t="shared" si="64"/>
        <v>-72626.788333831195</v>
      </c>
      <c r="Z146" s="29">
        <f t="shared" si="64"/>
        <v>0</v>
      </c>
      <c r="AA146" s="29">
        <f t="shared" si="64"/>
        <v>0</v>
      </c>
      <c r="AB146" s="29">
        <f t="shared" si="64"/>
        <v>0</v>
      </c>
      <c r="AC146" s="29">
        <f t="shared" si="64"/>
        <v>0</v>
      </c>
      <c r="AD146" s="29">
        <f t="shared" si="64"/>
        <v>0</v>
      </c>
      <c r="AE146" s="29">
        <f t="shared" si="64"/>
        <v>0</v>
      </c>
      <c r="AF146" s="29">
        <f t="shared" si="64"/>
        <v>0</v>
      </c>
      <c r="AG146" s="29">
        <f t="shared" si="64"/>
        <v>0</v>
      </c>
      <c r="AH146" s="29">
        <f t="shared" si="64"/>
        <v>0</v>
      </c>
      <c r="AI146" s="29">
        <f t="shared" si="64"/>
        <v>0</v>
      </c>
      <c r="AJ146" s="29">
        <f t="shared" si="64"/>
        <v>0</v>
      </c>
    </row>
    <row r="147" spans="1:36" s="21" customFormat="1" outlineLevel="1" x14ac:dyDescent="0.15">
      <c r="A147" s="19" t="s">
        <v>119</v>
      </c>
      <c r="B147" s="19"/>
      <c r="C147" s="19"/>
      <c r="D147" s="20"/>
      <c r="E147" s="20"/>
      <c r="F147" s="20"/>
      <c r="G147" s="141">
        <f>G153</f>
        <v>-1742691.6533980123</v>
      </c>
      <c r="H147" s="29">
        <f t="shared" ref="H147:AJ147" si="65">H153</f>
        <v>-1754704.9556976866</v>
      </c>
      <c r="I147" s="29">
        <f t="shared" si="65"/>
        <v>-1767367.2958313792</v>
      </c>
      <c r="J147" s="29">
        <f t="shared" si="65"/>
        <v>-1780706.2447850376</v>
      </c>
      <c r="K147" s="29">
        <f t="shared" si="65"/>
        <v>-1792264.0458757076</v>
      </c>
      <c r="L147" s="29">
        <f t="shared" si="65"/>
        <v>-1809414.8336426369</v>
      </c>
      <c r="M147" s="29">
        <f t="shared" si="65"/>
        <v>-1824956.2403816821</v>
      </c>
      <c r="N147" s="29">
        <f t="shared" si="65"/>
        <v>-1841297.1630479603</v>
      </c>
      <c r="O147" s="29">
        <f t="shared" si="65"/>
        <v>-1856561.4342178057</v>
      </c>
      <c r="P147" s="29">
        <f t="shared" si="65"/>
        <v>-1876427.4433281226</v>
      </c>
      <c r="Q147" s="29">
        <f t="shared" si="65"/>
        <v>-1895374.7817612027</v>
      </c>
      <c r="R147" s="29">
        <f t="shared" si="65"/>
        <v>-1915268.1382166622</v>
      </c>
      <c r="S147" s="29">
        <f t="shared" si="65"/>
        <v>-1934868.7931730016</v>
      </c>
      <c r="T147" s="29">
        <f t="shared" si="65"/>
        <v>-1957998.7284299904</v>
      </c>
      <c r="U147" s="29">
        <f t="shared" si="65"/>
        <v>-1980980.0381090685</v>
      </c>
      <c r="V147" s="29">
        <f t="shared" si="65"/>
        <v>-1619303.9879871642</v>
      </c>
      <c r="W147" s="29">
        <f t="shared" si="65"/>
        <v>-52285.335774096719</v>
      </c>
      <c r="X147" s="29">
        <f t="shared" si="65"/>
        <v>-52285.335774096719</v>
      </c>
      <c r="Y147" s="29">
        <f t="shared" si="65"/>
        <v>-52285.335774096719</v>
      </c>
      <c r="Z147" s="29">
        <f t="shared" si="65"/>
        <v>-52285.335774096347</v>
      </c>
      <c r="AA147" s="29">
        <f t="shared" si="65"/>
        <v>0</v>
      </c>
      <c r="AB147" s="29">
        <f t="shared" si="65"/>
        <v>0</v>
      </c>
      <c r="AC147" s="29">
        <f t="shared" si="65"/>
        <v>0</v>
      </c>
      <c r="AD147" s="29">
        <f t="shared" si="65"/>
        <v>0</v>
      </c>
      <c r="AE147" s="29">
        <f t="shared" si="65"/>
        <v>0</v>
      </c>
      <c r="AF147" s="29">
        <f t="shared" si="65"/>
        <v>0</v>
      </c>
      <c r="AG147" s="29">
        <f t="shared" si="65"/>
        <v>0</v>
      </c>
      <c r="AH147" s="29">
        <f t="shared" si="65"/>
        <v>0</v>
      </c>
      <c r="AI147" s="29">
        <f t="shared" si="65"/>
        <v>0</v>
      </c>
      <c r="AJ147" s="29">
        <f t="shared" si="65"/>
        <v>0</v>
      </c>
    </row>
    <row r="148" spans="1:36" s="21" customFormat="1" outlineLevel="1" x14ac:dyDescent="0.15">
      <c r="A148" s="24" t="s">
        <v>89</v>
      </c>
      <c r="B148" s="24"/>
      <c r="C148" s="24"/>
      <c r="D148" s="140"/>
      <c r="E148" s="140"/>
      <c r="F148" s="140"/>
      <c r="G148" s="214">
        <f>SUM(G145:G147)</f>
        <v>0</v>
      </c>
      <c r="H148" s="215">
        <f t="shared" ref="H148:AJ148" si="66">SUM(H145:H147)</f>
        <v>0</v>
      </c>
      <c r="I148" s="215">
        <f t="shared" si="66"/>
        <v>0</v>
      </c>
      <c r="J148" s="215">
        <f t="shared" si="66"/>
        <v>0</v>
      </c>
      <c r="K148" s="215">
        <f t="shared" si="66"/>
        <v>0</v>
      </c>
      <c r="L148" s="215">
        <f t="shared" si="66"/>
        <v>0</v>
      </c>
      <c r="M148" s="215">
        <f t="shared" si="66"/>
        <v>0</v>
      </c>
      <c r="N148" s="215">
        <f t="shared" si="66"/>
        <v>0</v>
      </c>
      <c r="O148" s="215">
        <f t="shared" si="66"/>
        <v>0</v>
      </c>
      <c r="P148" s="215">
        <f t="shared" si="66"/>
        <v>0</v>
      </c>
      <c r="Q148" s="215">
        <f t="shared" si="66"/>
        <v>0</v>
      </c>
      <c r="R148" s="215">
        <f t="shared" si="66"/>
        <v>0</v>
      </c>
      <c r="S148" s="215">
        <f t="shared" si="66"/>
        <v>0</v>
      </c>
      <c r="T148" s="215">
        <f t="shared" si="66"/>
        <v>0</v>
      </c>
      <c r="U148" s="215">
        <f t="shared" si="66"/>
        <v>0</v>
      </c>
      <c r="V148" s="215">
        <f t="shared" si="66"/>
        <v>428172.95763778733</v>
      </c>
      <c r="W148" s="215">
        <f t="shared" si="66"/>
        <v>2022189.7904679561</v>
      </c>
      <c r="X148" s="215">
        <f t="shared" si="66"/>
        <v>2051658.4643781823</v>
      </c>
      <c r="Y148" s="215">
        <f t="shared" si="66"/>
        <v>2081964.5638058474</v>
      </c>
      <c r="Z148" s="215">
        <f t="shared" si="66"/>
        <v>2113714.3998979549</v>
      </c>
      <c r="AA148" s="215">
        <f t="shared" si="66"/>
        <v>335338.69784662826</v>
      </c>
      <c r="AB148" s="215">
        <f t="shared" si="66"/>
        <v>301497.62180356076</v>
      </c>
      <c r="AC148" s="215">
        <f t="shared" si="66"/>
        <v>267156.01923963218</v>
      </c>
      <c r="AD148" s="215">
        <f t="shared" si="66"/>
        <v>232303.87962442497</v>
      </c>
      <c r="AE148" s="215">
        <f t="shared" si="66"/>
        <v>196930.99221691326</v>
      </c>
      <c r="AF148" s="215">
        <f t="shared" si="66"/>
        <v>161026.94206125126</v>
      </c>
      <c r="AG148" s="215">
        <f t="shared" si="66"/>
        <v>124581.10590247624</v>
      </c>
      <c r="AH148" s="215">
        <f t="shared" si="66"/>
        <v>87582.648020525929</v>
      </c>
      <c r="AI148" s="215">
        <f t="shared" si="66"/>
        <v>50020.515980936354</v>
      </c>
      <c r="AJ148" s="215">
        <f t="shared" si="66"/>
        <v>11883.436300555244</v>
      </c>
    </row>
    <row r="149" spans="1:36" s="21" customFormat="1" outlineLevel="1" x14ac:dyDescent="0.15">
      <c r="A149" s="19" t="s">
        <v>90</v>
      </c>
      <c r="B149" s="19"/>
      <c r="C149" s="19"/>
      <c r="D149" s="20"/>
      <c r="E149" s="20"/>
      <c r="F149" s="20"/>
      <c r="G149" s="216">
        <f>SUM(G145:G147)*$H$40</f>
        <v>0</v>
      </c>
      <c r="H149" s="217">
        <f t="shared" ref="H149:AJ149" si="67">SUM(H145:H147)*$H$40</f>
        <v>0</v>
      </c>
      <c r="I149" s="217">
        <f t="shared" si="67"/>
        <v>0</v>
      </c>
      <c r="J149" s="217">
        <f t="shared" si="67"/>
        <v>0</v>
      </c>
      <c r="K149" s="217">
        <f t="shared" si="67"/>
        <v>0</v>
      </c>
      <c r="L149" s="217">
        <f t="shared" si="67"/>
        <v>0</v>
      </c>
      <c r="M149" s="217">
        <f t="shared" si="67"/>
        <v>0</v>
      </c>
      <c r="N149" s="217">
        <f t="shared" si="67"/>
        <v>0</v>
      </c>
      <c r="O149" s="217">
        <f t="shared" si="67"/>
        <v>0</v>
      </c>
      <c r="P149" s="217">
        <f t="shared" si="67"/>
        <v>0</v>
      </c>
      <c r="Q149" s="217">
        <f t="shared" si="67"/>
        <v>0</v>
      </c>
      <c r="R149" s="217">
        <f t="shared" si="67"/>
        <v>0</v>
      </c>
      <c r="S149" s="217">
        <f t="shared" si="67"/>
        <v>0</v>
      </c>
      <c r="T149" s="217">
        <f t="shared" si="67"/>
        <v>0</v>
      </c>
      <c r="U149" s="217">
        <f t="shared" si="67"/>
        <v>0</v>
      </c>
      <c r="V149" s="217">
        <f t="shared" si="67"/>
        <v>107043.23940944683</v>
      </c>
      <c r="W149" s="217">
        <f t="shared" si="67"/>
        <v>505547.44761698903</v>
      </c>
      <c r="X149" s="217">
        <f t="shared" si="67"/>
        <v>512914.61609454558</v>
      </c>
      <c r="Y149" s="217">
        <f t="shared" si="67"/>
        <v>520491.14095146186</v>
      </c>
      <c r="Z149" s="217">
        <f t="shared" si="67"/>
        <v>528428.59997448872</v>
      </c>
      <c r="AA149" s="217">
        <f t="shared" si="67"/>
        <v>83834.674461657065</v>
      </c>
      <c r="AB149" s="217">
        <f t="shared" si="67"/>
        <v>75374.40545089019</v>
      </c>
      <c r="AC149" s="217">
        <f t="shared" si="67"/>
        <v>66789.004809908045</v>
      </c>
      <c r="AD149" s="217">
        <f t="shared" si="67"/>
        <v>58075.969906106242</v>
      </c>
      <c r="AE149" s="217">
        <f t="shared" si="67"/>
        <v>49232.748054228316</v>
      </c>
      <c r="AF149" s="217">
        <f t="shared" si="67"/>
        <v>40256.735515312816</v>
      </c>
      <c r="AG149" s="217">
        <f t="shared" si="67"/>
        <v>31145.276475619059</v>
      </c>
      <c r="AH149" s="217">
        <f t="shared" si="67"/>
        <v>21895.662005131482</v>
      </c>
      <c r="AI149" s="217">
        <f t="shared" si="67"/>
        <v>12505.128995234089</v>
      </c>
      <c r="AJ149" s="145">
        <f t="shared" si="67"/>
        <v>2970.859075138811</v>
      </c>
    </row>
    <row r="150" spans="1:36" s="21" customFormat="1" ht="15" outlineLevel="1" x14ac:dyDescent="0.2">
      <c r="A150" s="19"/>
      <c r="B150" s="19"/>
      <c r="C150" s="19"/>
      <c r="D150" s="20"/>
      <c r="E150" s="20"/>
      <c r="F150" s="20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 s="21" customFormat="1" outlineLevel="1" x14ac:dyDescent="0.15">
      <c r="A151" s="19" t="s">
        <v>120</v>
      </c>
      <c r="B151" s="19"/>
      <c r="C151" s="19"/>
      <c r="D151" s="20"/>
      <c r="E151" s="20"/>
      <c r="F151" s="20"/>
      <c r="G151" s="138">
        <v>0</v>
      </c>
      <c r="H151" s="46">
        <f>G154</f>
        <v>5411641.065890329</v>
      </c>
      <c r="I151" s="46">
        <f t="shared" ref="I151:AJ151" si="68">H154</f>
        <v>10811268.829480981</v>
      </c>
      <c r="J151" s="46">
        <f t="shared" si="68"/>
        <v>16198234.252937943</v>
      </c>
      <c r="K151" s="46">
        <f t="shared" si="68"/>
        <v>21571860.727441248</v>
      </c>
      <c r="L151" s="46">
        <f t="shared" si="68"/>
        <v>19849453.829246402</v>
      </c>
      <c r="M151" s="46">
        <f t="shared" si="68"/>
        <v>18109896.14328463</v>
      </c>
      <c r="N151" s="46">
        <f t="shared" si="68"/>
        <v>16354797.050583811</v>
      </c>
      <c r="O151" s="46">
        <f t="shared" si="68"/>
        <v>14583357.035216713</v>
      </c>
      <c r="P151" s="46">
        <f t="shared" si="68"/>
        <v>12796652.74867977</v>
      </c>
      <c r="Q151" s="46">
        <f t="shared" si="68"/>
        <v>10990082.453032508</v>
      </c>
      <c r="R151" s="46">
        <f t="shared" si="68"/>
        <v>9146993.0070454031</v>
      </c>
      <c r="S151" s="46">
        <f t="shared" si="68"/>
        <v>7284010.2046028385</v>
      </c>
      <c r="T151" s="46">
        <f t="shared" si="68"/>
        <v>5401426.7472039331</v>
      </c>
      <c r="U151" s="46">
        <f t="shared" si="68"/>
        <v>3495713.3545480394</v>
      </c>
      <c r="V151" s="46">
        <f t="shared" si="68"/>
        <v>1567018.6522130675</v>
      </c>
      <c r="W151" s="46">
        <f t="shared" si="68"/>
        <v>0</v>
      </c>
      <c r="X151" s="46">
        <f t="shared" si="68"/>
        <v>0</v>
      </c>
      <c r="Y151" s="46">
        <f t="shared" si="68"/>
        <v>0</v>
      </c>
      <c r="Z151" s="46">
        <f t="shared" si="68"/>
        <v>0</v>
      </c>
      <c r="AA151" s="46">
        <f t="shared" si="68"/>
        <v>0</v>
      </c>
      <c r="AB151" s="46">
        <f t="shared" si="68"/>
        <v>0</v>
      </c>
      <c r="AC151" s="46">
        <f t="shared" si="68"/>
        <v>0</v>
      </c>
      <c r="AD151" s="46">
        <f t="shared" si="68"/>
        <v>0</v>
      </c>
      <c r="AE151" s="46">
        <f t="shared" si="68"/>
        <v>0</v>
      </c>
      <c r="AF151" s="46">
        <f t="shared" si="68"/>
        <v>0</v>
      </c>
      <c r="AG151" s="46">
        <f t="shared" si="68"/>
        <v>0</v>
      </c>
      <c r="AH151" s="46">
        <f t="shared" si="68"/>
        <v>0</v>
      </c>
      <c r="AI151" s="46">
        <f t="shared" si="68"/>
        <v>0</v>
      </c>
      <c r="AJ151" s="46">
        <f t="shared" si="68"/>
        <v>0</v>
      </c>
    </row>
    <row r="152" spans="1:36" s="21" customFormat="1" outlineLevel="1" x14ac:dyDescent="0.15">
      <c r="A152" s="19" t="s">
        <v>83</v>
      </c>
      <c r="B152" s="19"/>
      <c r="C152" s="19"/>
      <c r="D152" s="20"/>
      <c r="E152" s="20"/>
      <c r="F152" s="20"/>
      <c r="G152" s="141">
        <f>G143</f>
        <v>7154332.7192883408</v>
      </c>
      <c r="H152" s="29">
        <f>H143</f>
        <v>7154332.7192883408</v>
      </c>
      <c r="I152" s="29">
        <f t="shared" ref="I152:AJ152" si="69">I143</f>
        <v>7154332.7192883408</v>
      </c>
      <c r="J152" s="29">
        <f t="shared" si="69"/>
        <v>7154332.7192883408</v>
      </c>
      <c r="K152" s="29">
        <f t="shared" si="69"/>
        <v>69857.147680862283</v>
      </c>
      <c r="L152" s="29">
        <f t="shared" si="69"/>
        <v>69857.147680862283</v>
      </c>
      <c r="M152" s="29">
        <f t="shared" si="69"/>
        <v>69857.147680862283</v>
      </c>
      <c r="N152" s="29">
        <f t="shared" si="69"/>
        <v>69857.147680862283</v>
      </c>
      <c r="O152" s="29">
        <f t="shared" si="69"/>
        <v>69857.147680862283</v>
      </c>
      <c r="P152" s="29">
        <f t="shared" si="69"/>
        <v>69857.147680862283</v>
      </c>
      <c r="Q152" s="29">
        <f t="shared" si="69"/>
        <v>52285.335774096719</v>
      </c>
      <c r="R152" s="29">
        <f t="shared" si="69"/>
        <v>52285.335774096719</v>
      </c>
      <c r="S152" s="29">
        <f t="shared" si="69"/>
        <v>52285.335774096719</v>
      </c>
      <c r="T152" s="29">
        <f t="shared" si="69"/>
        <v>52285.335774096719</v>
      </c>
      <c r="U152" s="29">
        <f t="shared" si="69"/>
        <v>52285.335774096719</v>
      </c>
      <c r="V152" s="29">
        <f t="shared" si="69"/>
        <v>52285.335774096719</v>
      </c>
      <c r="W152" s="29">
        <f t="shared" si="69"/>
        <v>52285.335774096719</v>
      </c>
      <c r="X152" s="29">
        <f t="shared" si="69"/>
        <v>52285.335774096719</v>
      </c>
      <c r="Y152" s="29">
        <f t="shared" si="69"/>
        <v>52285.335774096719</v>
      </c>
      <c r="Z152" s="29">
        <f t="shared" si="69"/>
        <v>52285.335774096347</v>
      </c>
      <c r="AA152" s="29">
        <f t="shared" si="69"/>
        <v>0</v>
      </c>
      <c r="AB152" s="29">
        <f t="shared" si="69"/>
        <v>0</v>
      </c>
      <c r="AC152" s="29">
        <f t="shared" si="69"/>
        <v>0</v>
      </c>
      <c r="AD152" s="29">
        <f t="shared" si="69"/>
        <v>0</v>
      </c>
      <c r="AE152" s="29">
        <f t="shared" si="69"/>
        <v>0</v>
      </c>
      <c r="AF152" s="29">
        <f t="shared" si="69"/>
        <v>0</v>
      </c>
      <c r="AG152" s="29">
        <f t="shared" si="69"/>
        <v>0</v>
      </c>
      <c r="AH152" s="29">
        <f t="shared" si="69"/>
        <v>0</v>
      </c>
      <c r="AI152" s="29">
        <f t="shared" si="69"/>
        <v>0</v>
      </c>
      <c r="AJ152" s="29">
        <f t="shared" si="69"/>
        <v>0</v>
      </c>
    </row>
    <row r="153" spans="1:36" s="21" customFormat="1" outlineLevel="1" x14ac:dyDescent="0.15">
      <c r="A153" s="19" t="s">
        <v>88</v>
      </c>
      <c r="B153" s="19"/>
      <c r="C153" s="19"/>
      <c r="D153" s="20"/>
      <c r="E153" s="20"/>
      <c r="F153" s="20"/>
      <c r="G153" s="139">
        <f>-MIN(SUM(G145:G146),SUM(G151:G152))</f>
        <v>-1742691.6533980123</v>
      </c>
      <c r="H153" s="137">
        <f>-MIN(SUM(H145:H146),SUM(H151:H152))</f>
        <v>-1754704.9556976866</v>
      </c>
      <c r="I153" s="137">
        <f t="shared" ref="I153:AJ153" si="70">-MIN(SUM(I145:I146),SUM(I151:I152))</f>
        <v>-1767367.2958313792</v>
      </c>
      <c r="J153" s="137">
        <f t="shared" si="70"/>
        <v>-1780706.2447850376</v>
      </c>
      <c r="K153" s="137">
        <f t="shared" si="70"/>
        <v>-1792264.0458757076</v>
      </c>
      <c r="L153" s="137">
        <f t="shared" si="70"/>
        <v>-1809414.8336426369</v>
      </c>
      <c r="M153" s="137">
        <f t="shared" si="70"/>
        <v>-1824956.2403816821</v>
      </c>
      <c r="N153" s="137">
        <f t="shared" si="70"/>
        <v>-1841297.1630479603</v>
      </c>
      <c r="O153" s="137">
        <f t="shared" si="70"/>
        <v>-1856561.4342178057</v>
      </c>
      <c r="P153" s="137">
        <f t="shared" si="70"/>
        <v>-1876427.4433281226</v>
      </c>
      <c r="Q153" s="137">
        <f t="shared" si="70"/>
        <v>-1895374.7817612027</v>
      </c>
      <c r="R153" s="137">
        <f t="shared" si="70"/>
        <v>-1915268.1382166622</v>
      </c>
      <c r="S153" s="137">
        <f t="shared" si="70"/>
        <v>-1934868.7931730016</v>
      </c>
      <c r="T153" s="137">
        <f t="shared" si="70"/>
        <v>-1957998.7284299904</v>
      </c>
      <c r="U153" s="137">
        <f t="shared" si="70"/>
        <v>-1980980.0381090685</v>
      </c>
      <c r="V153" s="137">
        <f t="shared" si="70"/>
        <v>-1619303.9879871642</v>
      </c>
      <c r="W153" s="137">
        <f t="shared" si="70"/>
        <v>-52285.335774096719</v>
      </c>
      <c r="X153" s="137">
        <f t="shared" si="70"/>
        <v>-52285.335774096719</v>
      </c>
      <c r="Y153" s="137">
        <f t="shared" si="70"/>
        <v>-52285.335774096719</v>
      </c>
      <c r="Z153" s="137">
        <f t="shared" si="70"/>
        <v>-52285.335774096347</v>
      </c>
      <c r="AA153" s="137">
        <f t="shared" si="70"/>
        <v>0</v>
      </c>
      <c r="AB153" s="137">
        <f t="shared" si="70"/>
        <v>0</v>
      </c>
      <c r="AC153" s="137">
        <f t="shared" si="70"/>
        <v>0</v>
      </c>
      <c r="AD153" s="137">
        <f t="shared" si="70"/>
        <v>0</v>
      </c>
      <c r="AE153" s="137">
        <f t="shared" si="70"/>
        <v>0</v>
      </c>
      <c r="AF153" s="137">
        <f t="shared" si="70"/>
        <v>0</v>
      </c>
      <c r="AG153" s="137">
        <f t="shared" si="70"/>
        <v>0</v>
      </c>
      <c r="AH153" s="137">
        <f t="shared" si="70"/>
        <v>0</v>
      </c>
      <c r="AI153" s="137">
        <f t="shared" si="70"/>
        <v>0</v>
      </c>
      <c r="AJ153" s="137">
        <f t="shared" si="70"/>
        <v>0</v>
      </c>
    </row>
    <row r="154" spans="1:36" s="21" customFormat="1" outlineLevel="1" x14ac:dyDescent="0.15">
      <c r="A154" s="19" t="s">
        <v>138</v>
      </c>
      <c r="B154" s="19"/>
      <c r="C154" s="19"/>
      <c r="D154" s="20"/>
      <c r="E154" s="20"/>
      <c r="F154" s="20"/>
      <c r="G154" s="139">
        <f>SUM(G151:G153)</f>
        <v>5411641.065890329</v>
      </c>
      <c r="H154" s="137">
        <f>SUM(H151:H153)</f>
        <v>10811268.829480981</v>
      </c>
      <c r="I154" s="137">
        <f t="shared" ref="I154:AJ154" si="71">SUM(I151:I153)</f>
        <v>16198234.252937943</v>
      </c>
      <c r="J154" s="137">
        <f t="shared" si="71"/>
        <v>21571860.727441248</v>
      </c>
      <c r="K154" s="137">
        <f t="shared" si="71"/>
        <v>19849453.829246402</v>
      </c>
      <c r="L154" s="137">
        <f t="shared" si="71"/>
        <v>18109896.14328463</v>
      </c>
      <c r="M154" s="137">
        <f t="shared" si="71"/>
        <v>16354797.050583811</v>
      </c>
      <c r="N154" s="137">
        <f t="shared" si="71"/>
        <v>14583357.035216713</v>
      </c>
      <c r="O154" s="137">
        <f t="shared" si="71"/>
        <v>12796652.74867977</v>
      </c>
      <c r="P154" s="137">
        <f t="shared" si="71"/>
        <v>10990082.453032508</v>
      </c>
      <c r="Q154" s="137">
        <f t="shared" si="71"/>
        <v>9146993.0070454031</v>
      </c>
      <c r="R154" s="137">
        <f t="shared" si="71"/>
        <v>7284010.2046028385</v>
      </c>
      <c r="S154" s="137">
        <f t="shared" si="71"/>
        <v>5401426.7472039331</v>
      </c>
      <c r="T154" s="137">
        <f t="shared" si="71"/>
        <v>3495713.3545480394</v>
      </c>
      <c r="U154" s="137">
        <f t="shared" si="71"/>
        <v>1567018.6522130675</v>
      </c>
      <c r="V154" s="137">
        <f t="shared" si="71"/>
        <v>0</v>
      </c>
      <c r="W154" s="137">
        <f t="shared" si="71"/>
        <v>0</v>
      </c>
      <c r="X154" s="137">
        <f t="shared" si="71"/>
        <v>0</v>
      </c>
      <c r="Y154" s="137">
        <f t="shared" si="71"/>
        <v>0</v>
      </c>
      <c r="Z154" s="137">
        <f t="shared" si="71"/>
        <v>0</v>
      </c>
      <c r="AA154" s="137">
        <f t="shared" si="71"/>
        <v>0</v>
      </c>
      <c r="AB154" s="137">
        <f t="shared" si="71"/>
        <v>0</v>
      </c>
      <c r="AC154" s="137">
        <f t="shared" si="71"/>
        <v>0</v>
      </c>
      <c r="AD154" s="137">
        <f t="shared" si="71"/>
        <v>0</v>
      </c>
      <c r="AE154" s="137">
        <f t="shared" si="71"/>
        <v>0</v>
      </c>
      <c r="AF154" s="137">
        <f t="shared" si="71"/>
        <v>0</v>
      </c>
      <c r="AG154" s="137">
        <f t="shared" si="71"/>
        <v>0</v>
      </c>
      <c r="AH154" s="137">
        <f t="shared" si="71"/>
        <v>0</v>
      </c>
      <c r="AI154" s="137">
        <f t="shared" si="71"/>
        <v>0</v>
      </c>
      <c r="AJ154" s="137">
        <f t="shared" si="71"/>
        <v>0</v>
      </c>
    </row>
    <row r="155" spans="1:36" s="21" customFormat="1" ht="15" x14ac:dyDescent="0.2">
      <c r="A155" s="19" t="s">
        <v>136</v>
      </c>
      <c r="B155" s="19"/>
      <c r="C155" s="19"/>
      <c r="D155" s="20"/>
      <c r="E155" s="20"/>
      <c r="F155" s="20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 s="38" customFormat="1" ht="18.75" customHeight="1" x14ac:dyDescent="0.2">
      <c r="A156" s="4" t="s">
        <v>130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customFormat="1" ht="18" customHeight="1" outlineLevel="1" x14ac:dyDescent="0.2"/>
    <row r="158" spans="1:36" s="21" customFormat="1" outlineLevel="1" x14ac:dyDescent="0.15">
      <c r="A158" s="19"/>
      <c r="B158" s="19"/>
      <c r="C158" s="19"/>
      <c r="D158" s="20"/>
      <c r="E158" s="20"/>
      <c r="F158" s="20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</row>
    <row r="159" spans="1:36" s="17" customFormat="1" outlineLevel="1" x14ac:dyDescent="0.15">
      <c r="A159" s="17" t="s">
        <v>91</v>
      </c>
      <c r="D159" s="18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</row>
    <row r="160" spans="1:36" outlineLevel="1" x14ac:dyDescent="0.15"/>
    <row r="161" spans="1:36" s="21" customFormat="1" outlineLevel="1" x14ac:dyDescent="0.15">
      <c r="A161" s="24" t="s">
        <v>4</v>
      </c>
      <c r="B161" s="19"/>
      <c r="C161" s="19"/>
      <c r="D161" s="20"/>
      <c r="E161" s="22"/>
    </row>
    <row r="162" spans="1:36" s="21" customFormat="1" outlineLevel="1" x14ac:dyDescent="0.15">
      <c r="A162" s="19" t="s">
        <v>2</v>
      </c>
      <c r="B162" s="19"/>
      <c r="C162" s="19"/>
      <c r="D162" s="20"/>
      <c r="E162" s="23"/>
      <c r="G162" s="21">
        <f t="shared" ref="G162:AJ162" si="72">G145</f>
        <v>2843317.5000000005</v>
      </c>
      <c r="H162" s="21">
        <f t="shared" si="72"/>
        <v>2808573.4125000006</v>
      </c>
      <c r="I162" s="21">
        <f t="shared" si="72"/>
        <v>2773500.8850000007</v>
      </c>
      <c r="J162" s="21">
        <f t="shared" si="72"/>
        <v>2738093.3487</v>
      </c>
      <c r="K162" s="21">
        <f t="shared" si="72"/>
        <v>2702344.1034240006</v>
      </c>
      <c r="L162" s="21">
        <f t="shared" si="72"/>
        <v>2666246.3149924804</v>
      </c>
      <c r="M162" s="21">
        <f t="shared" si="72"/>
        <v>2629793.0125423302</v>
      </c>
      <c r="N162" s="21">
        <f t="shared" si="72"/>
        <v>2592977.0857931762</v>
      </c>
      <c r="O162" s="21">
        <f t="shared" si="72"/>
        <v>2555791.28225904</v>
      </c>
      <c r="P162" s="21">
        <f t="shared" si="72"/>
        <v>2518228.2044042209</v>
      </c>
      <c r="Q162" s="21">
        <f t="shared" si="72"/>
        <v>2480280.3067423054</v>
      </c>
      <c r="R162" s="21">
        <f t="shared" si="72"/>
        <v>2441939.8928771513</v>
      </c>
      <c r="S162" s="21">
        <f t="shared" si="72"/>
        <v>2403199.1124846945</v>
      </c>
      <c r="T162" s="21">
        <f t="shared" si="72"/>
        <v>2364049.9582343888</v>
      </c>
      <c r="U162" s="21">
        <f t="shared" si="72"/>
        <v>2324484.2626490761</v>
      </c>
      <c r="V162" s="21">
        <f t="shared" si="72"/>
        <v>2326888.5475592678</v>
      </c>
      <c r="W162" s="21">
        <f t="shared" si="72"/>
        <v>2287312.507260453</v>
      </c>
      <c r="X162" s="21">
        <f t="shared" si="72"/>
        <v>2247311.3879056619</v>
      </c>
      <c r="Y162" s="21">
        <f t="shared" si="72"/>
        <v>2206876.6879137754</v>
      </c>
      <c r="Z162" s="21">
        <f t="shared" si="72"/>
        <v>2165999.7356720511</v>
      </c>
      <c r="AA162" s="21">
        <f t="shared" si="72"/>
        <v>335338.69784662826</v>
      </c>
      <c r="AB162" s="21">
        <f t="shared" si="72"/>
        <v>301497.62180356076</v>
      </c>
      <c r="AC162" s="21">
        <f t="shared" si="72"/>
        <v>267156.01923963218</v>
      </c>
      <c r="AD162" s="21">
        <f t="shared" si="72"/>
        <v>232303.87962442497</v>
      </c>
      <c r="AE162" s="21">
        <f t="shared" si="72"/>
        <v>196930.99221691326</v>
      </c>
      <c r="AF162" s="21">
        <f t="shared" si="72"/>
        <v>161026.94206125126</v>
      </c>
      <c r="AG162" s="21">
        <f t="shared" si="72"/>
        <v>124581.10590247624</v>
      </c>
      <c r="AH162" s="21">
        <f t="shared" si="72"/>
        <v>87582.648020525929</v>
      </c>
      <c r="AI162" s="21">
        <f t="shared" si="72"/>
        <v>50020.515980936354</v>
      </c>
      <c r="AJ162" s="21">
        <f t="shared" si="72"/>
        <v>11883.436300555244</v>
      </c>
    </row>
    <row r="163" spans="1:36" s="21" customFormat="1" outlineLevel="1" x14ac:dyDescent="0.15">
      <c r="A163" s="19" t="s">
        <v>93</v>
      </c>
      <c r="B163" s="19"/>
      <c r="C163" s="19"/>
      <c r="D163" s="20"/>
      <c r="E163" s="22"/>
    </row>
    <row r="164" spans="1:36" s="21" customFormat="1" ht="15" outlineLevel="1" x14ac:dyDescent="0.2">
      <c r="A164" s="19"/>
      <c r="B164" s="19" t="s">
        <v>79</v>
      </c>
      <c r="C164" s="19"/>
      <c r="D164" s="20"/>
      <c r="E164" s="23"/>
      <c r="G164" s="91">
        <f t="shared" ref="G164:AJ164" si="73">-IF(G$49=$D$35,$C$35,0)</f>
        <v>0</v>
      </c>
      <c r="H164" s="91">
        <f t="shared" si="73"/>
        <v>0</v>
      </c>
      <c r="I164" s="91">
        <f t="shared" si="73"/>
        <v>0</v>
      </c>
      <c r="J164" s="91">
        <f t="shared" si="73"/>
        <v>0</v>
      </c>
      <c r="K164" s="91">
        <f t="shared" si="73"/>
        <v>0</v>
      </c>
      <c r="L164" s="91">
        <f t="shared" si="73"/>
        <v>0</v>
      </c>
      <c r="M164" s="91">
        <f t="shared" si="73"/>
        <v>0</v>
      </c>
      <c r="N164" s="91">
        <f t="shared" si="73"/>
        <v>0</v>
      </c>
      <c r="O164" s="91">
        <f t="shared" si="73"/>
        <v>0</v>
      </c>
      <c r="P164" s="91">
        <f t="shared" si="73"/>
        <v>0</v>
      </c>
      <c r="Q164" s="91">
        <f t="shared" si="73"/>
        <v>0</v>
      </c>
      <c r="R164" s="91">
        <f t="shared" si="73"/>
        <v>0</v>
      </c>
      <c r="S164" s="91">
        <f t="shared" si="73"/>
        <v>0</v>
      </c>
      <c r="T164" s="91">
        <f t="shared" si="73"/>
        <v>0</v>
      </c>
      <c r="U164" s="91">
        <f t="shared" si="73"/>
        <v>-450000</v>
      </c>
      <c r="V164" s="91">
        <f t="shared" si="73"/>
        <v>0</v>
      </c>
      <c r="W164" s="91">
        <f t="shared" si="73"/>
        <v>0</v>
      </c>
      <c r="X164" s="91">
        <f t="shared" si="73"/>
        <v>0</v>
      </c>
      <c r="Y164" s="91">
        <f t="shared" si="73"/>
        <v>0</v>
      </c>
      <c r="Z164" s="91">
        <f t="shared" si="73"/>
        <v>0</v>
      </c>
      <c r="AA164" s="91">
        <f t="shared" si="73"/>
        <v>0</v>
      </c>
      <c r="AB164" s="91">
        <f t="shared" si="73"/>
        <v>0</v>
      </c>
      <c r="AC164" s="91">
        <f t="shared" si="73"/>
        <v>0</v>
      </c>
      <c r="AD164" s="91">
        <f t="shared" si="73"/>
        <v>0</v>
      </c>
      <c r="AE164" s="91">
        <f t="shared" si="73"/>
        <v>0</v>
      </c>
      <c r="AF164" s="91">
        <f t="shared" si="73"/>
        <v>0</v>
      </c>
      <c r="AG164" s="91">
        <f t="shared" si="73"/>
        <v>0</v>
      </c>
      <c r="AH164" s="91">
        <f t="shared" si="73"/>
        <v>0</v>
      </c>
      <c r="AI164" s="91">
        <f t="shared" si="73"/>
        <v>0</v>
      </c>
      <c r="AJ164" s="91">
        <f t="shared" si="73"/>
        <v>0</v>
      </c>
    </row>
    <row r="165" spans="1:36" s="21" customFormat="1" ht="15" outlineLevel="1" x14ac:dyDescent="0.2">
      <c r="A165" s="19"/>
      <c r="B165" s="19" t="s">
        <v>115</v>
      </c>
      <c r="C165" s="19"/>
      <c r="D165" s="20"/>
      <c r="E165" s="23"/>
      <c r="G165" s="91">
        <f>-IF(G164=0,0,MAX(G164,SUM($G$68:G68)))</f>
        <v>0</v>
      </c>
      <c r="H165" s="91">
        <f>-IF(H164=0,0,MAX(H164,SUM($G$68:H68)))</f>
        <v>0</v>
      </c>
      <c r="I165" s="91">
        <f>-IF(I164=0,0,MAX(I164,SUM($G$68:I68)))</f>
        <v>0</v>
      </c>
      <c r="J165" s="91">
        <f>-IF(J164=0,0,MAX(J164,SUM($G$68:J68)))</f>
        <v>0</v>
      </c>
      <c r="K165" s="91">
        <f>-IF(K164=0,0,MAX(K164,SUM($G$68:K68)))</f>
        <v>0</v>
      </c>
      <c r="L165" s="91">
        <f>-IF(L164=0,0,MAX(L164,SUM($G$68:L68)))</f>
        <v>0</v>
      </c>
      <c r="M165" s="91">
        <f>-IF(M164=0,0,MAX(M164,SUM($G$68:M68)))</f>
        <v>0</v>
      </c>
      <c r="N165" s="91">
        <f>-IF(N164=0,0,MAX(N164,SUM($G$68:N68)))</f>
        <v>0</v>
      </c>
      <c r="O165" s="91">
        <f>-IF(O164=0,0,MAX(O164,SUM($G$68:O68)))</f>
        <v>0</v>
      </c>
      <c r="P165" s="91">
        <f>-IF(P164=0,0,MAX(P164,SUM($G$68:P68)))</f>
        <v>0</v>
      </c>
      <c r="Q165" s="91">
        <f>-IF(Q164=0,0,MAX(Q164,SUM($G$68:Q68)))</f>
        <v>0</v>
      </c>
      <c r="R165" s="91">
        <f>-IF(R164=0,0,MAX(R164,SUM($G$68:R68)))</f>
        <v>0</v>
      </c>
      <c r="S165" s="91">
        <f>-IF(S164=0,0,MAX(S164,SUM($G$68:S68)))</f>
        <v>0</v>
      </c>
      <c r="T165" s="91">
        <f>-IF(T164=0,0,MAX(T164,SUM($G$68:T68)))</f>
        <v>0</v>
      </c>
      <c r="U165" s="91">
        <f>-IF(U164=0,0,MAX(U164,SUM($G$68:U68)))</f>
        <v>450000</v>
      </c>
      <c r="V165" s="91">
        <f>-IF(V164=0,0,MAX(V164,SUM($G$68:V68)))</f>
        <v>0</v>
      </c>
      <c r="W165" s="91">
        <f>-IF(W164=0,0,MAX(W164,SUM($G$68:W68)))</f>
        <v>0</v>
      </c>
      <c r="X165" s="91">
        <f>-IF(X164=0,0,MAX(X164,SUM($G$68:X68)))</f>
        <v>0</v>
      </c>
      <c r="Y165" s="91">
        <f>-IF(Y164=0,0,MAX(Y164,SUM($G$68:Y68)))</f>
        <v>0</v>
      </c>
      <c r="Z165" s="91">
        <f>-IF(Z164=0,0,MAX(Z164,SUM($G$68:Z68)))</f>
        <v>0</v>
      </c>
      <c r="AA165" s="91">
        <f>-IF(AA164=0,0,MAX(AA164,SUM($G$68:AA68)))</f>
        <v>0</v>
      </c>
      <c r="AB165" s="91">
        <f>-IF(AB164=0,0,MAX(AB164,SUM($G$68:AB68)))</f>
        <v>0</v>
      </c>
      <c r="AC165" s="91">
        <f>-IF(AC164=0,0,MAX(AC164,SUM($G$68:AC68)))</f>
        <v>0</v>
      </c>
      <c r="AD165" s="91">
        <f>-IF(AD164=0,0,MAX(AD164,SUM($G$68:AD68)))</f>
        <v>0</v>
      </c>
      <c r="AE165" s="91">
        <f>-IF(AE164=0,0,MAX(AE164,SUM($G$68:AE68)))</f>
        <v>0</v>
      </c>
      <c r="AF165" s="91">
        <f>-IF(AF164=0,0,MAX(AF164,SUM($G$68:AF68)))</f>
        <v>0</v>
      </c>
      <c r="AG165" s="91">
        <f>-IF(AG164=0,0,MAX(AG164,SUM($G$68:AG68)))</f>
        <v>0</v>
      </c>
      <c r="AH165" s="91">
        <f>-IF(AH164=0,0,MAX(AH164,SUM($G$68:AH68)))</f>
        <v>0</v>
      </c>
      <c r="AI165" s="91">
        <f>-IF(AI164=0,0,MAX(AI164,SUM($G$68:AI68)))</f>
        <v>0</v>
      </c>
      <c r="AJ165" s="91">
        <f>-IF(AJ164=0,0,MAX(AJ164,SUM($G$68:AJ68)))</f>
        <v>0</v>
      </c>
    </row>
    <row r="166" spans="1:36" s="21" customFormat="1" ht="15" outlineLevel="1" x14ac:dyDescent="0.2">
      <c r="A166" s="19"/>
      <c r="B166" s="19" t="s">
        <v>95</v>
      </c>
      <c r="C166" s="19"/>
      <c r="D166" s="20"/>
      <c r="E166" s="23"/>
      <c r="G166" s="91">
        <f t="shared" ref="G166:AJ166" si="74">-G100</f>
        <v>-1100625.8466019882</v>
      </c>
      <c r="H166" s="91">
        <f t="shared" si="74"/>
        <v>-1053868.4568023139</v>
      </c>
      <c r="I166" s="91">
        <f t="shared" si="74"/>
        <v>-1006133.5891686215</v>
      </c>
      <c r="J166" s="91">
        <f t="shared" si="74"/>
        <v>-957387.10391496238</v>
      </c>
      <c r="K166" s="91">
        <f t="shared" si="74"/>
        <v>-910080.05754829303</v>
      </c>
      <c r="L166" s="91">
        <f t="shared" si="74"/>
        <v>-856831.48134984367</v>
      </c>
      <c r="M166" s="91">
        <f t="shared" si="74"/>
        <v>-804836.77216064814</v>
      </c>
      <c r="N166" s="91">
        <f t="shared" si="74"/>
        <v>-751679.92274521594</v>
      </c>
      <c r="O166" s="91">
        <f t="shared" si="74"/>
        <v>-699229.84804123431</v>
      </c>
      <c r="P166" s="91">
        <f t="shared" si="74"/>
        <v>-641800.76107609831</v>
      </c>
      <c r="Q166" s="91">
        <f t="shared" si="74"/>
        <v>-584905.52498110267</v>
      </c>
      <c r="R166" s="91">
        <f t="shared" si="74"/>
        <v>-526671.75466048892</v>
      </c>
      <c r="S166" s="91">
        <f t="shared" si="74"/>
        <v>-468330.31931169279</v>
      </c>
      <c r="T166" s="91">
        <f t="shared" si="74"/>
        <v>-406051.22980439861</v>
      </c>
      <c r="U166" s="91">
        <f t="shared" si="74"/>
        <v>-343504.22454000748</v>
      </c>
      <c r="V166" s="91">
        <f t="shared" si="74"/>
        <v>-279411.60193431634</v>
      </c>
      <c r="W166" s="91">
        <f t="shared" si="74"/>
        <v>-212837.38101840019</v>
      </c>
      <c r="X166" s="91">
        <f t="shared" si="74"/>
        <v>-143367.5877533828</v>
      </c>
      <c r="Y166" s="91">
        <f t="shared" si="74"/>
        <v>-72626.788333831195</v>
      </c>
      <c r="Z166" s="91">
        <f t="shared" si="74"/>
        <v>0</v>
      </c>
      <c r="AA166" s="91">
        <f t="shared" si="74"/>
        <v>0</v>
      </c>
      <c r="AB166" s="91">
        <f t="shared" si="74"/>
        <v>0</v>
      </c>
      <c r="AC166" s="91">
        <f t="shared" si="74"/>
        <v>0</v>
      </c>
      <c r="AD166" s="91">
        <f t="shared" si="74"/>
        <v>0</v>
      </c>
      <c r="AE166" s="91">
        <f t="shared" si="74"/>
        <v>0</v>
      </c>
      <c r="AF166" s="91">
        <f t="shared" si="74"/>
        <v>0</v>
      </c>
      <c r="AG166" s="91">
        <f t="shared" si="74"/>
        <v>0</v>
      </c>
      <c r="AH166" s="91">
        <f t="shared" si="74"/>
        <v>0</v>
      </c>
      <c r="AI166" s="91">
        <f t="shared" si="74"/>
        <v>0</v>
      </c>
      <c r="AJ166" s="91">
        <f t="shared" si="74"/>
        <v>0</v>
      </c>
    </row>
    <row r="167" spans="1:36" s="21" customFormat="1" ht="15" outlineLevel="1" x14ac:dyDescent="0.2">
      <c r="A167" s="19"/>
      <c r="B167" s="19" t="s">
        <v>94</v>
      </c>
      <c r="C167" s="19"/>
      <c r="D167" s="20"/>
      <c r="E167" s="23"/>
      <c r="G167" s="91">
        <f t="shared" ref="G167:AJ167" si="75">-G101</f>
        <v>-1005535.2645091233</v>
      </c>
      <c r="H167" s="91">
        <f t="shared" si="75"/>
        <v>-1026556.2931976863</v>
      </c>
      <c r="I167" s="91">
        <f t="shared" si="75"/>
        <v>-1048311.5108313789</v>
      </c>
      <c r="J167" s="91">
        <f t="shared" si="75"/>
        <v>-1070830.1914183707</v>
      </c>
      <c r="K167" s="91">
        <f t="shared" si="75"/>
        <v>-1091656.3153583738</v>
      </c>
      <c r="L167" s="91">
        <f t="shared" si="75"/>
        <v>-1118165.7890149564</v>
      </c>
      <c r="M167" s="91">
        <f t="shared" si="75"/>
        <v>-1143158.0519447816</v>
      </c>
      <c r="N167" s="91">
        <f t="shared" si="75"/>
        <v>-1169043.8445089885</v>
      </c>
      <c r="O167" s="91">
        <f t="shared" si="75"/>
        <v>-1193948.8795580545</v>
      </c>
      <c r="P167" s="91">
        <f t="shared" si="75"/>
        <v>-1223553.4644085097</v>
      </c>
      <c r="Q167" s="91">
        <f t="shared" si="75"/>
        <v>-1252339.1466798643</v>
      </c>
      <c r="R167" s="91">
        <f t="shared" si="75"/>
        <v>-1282172.6104336972</v>
      </c>
      <c r="S167" s="91">
        <f t="shared" si="75"/>
        <v>-1311817.1714177104</v>
      </c>
      <c r="T167" s="91">
        <f t="shared" si="75"/>
        <v>-1345096.8874062598</v>
      </c>
      <c r="U167" s="91">
        <f t="shared" si="75"/>
        <v>-1378335.9700148634</v>
      </c>
      <c r="V167" s="91">
        <f t="shared" si="75"/>
        <v>-1444209.544405882</v>
      </c>
      <c r="W167" s="91">
        <f t="shared" si="75"/>
        <v>-1481468.1799152684</v>
      </c>
      <c r="X167" s="91">
        <f t="shared" si="75"/>
        <v>-1521307.5143989592</v>
      </c>
      <c r="Y167" s="91">
        <f t="shared" si="75"/>
        <v>-1561866.4157813161</v>
      </c>
      <c r="Z167" s="91">
        <f t="shared" si="75"/>
        <v>0</v>
      </c>
      <c r="AA167" s="91">
        <f t="shared" si="75"/>
        <v>0</v>
      </c>
      <c r="AB167" s="91">
        <f t="shared" si="75"/>
        <v>0</v>
      </c>
      <c r="AC167" s="91">
        <f t="shared" si="75"/>
        <v>0</v>
      </c>
      <c r="AD167" s="91">
        <f t="shared" si="75"/>
        <v>0</v>
      </c>
      <c r="AE167" s="91">
        <f t="shared" si="75"/>
        <v>0</v>
      </c>
      <c r="AF167" s="91">
        <f t="shared" si="75"/>
        <v>0</v>
      </c>
      <c r="AG167" s="91">
        <f t="shared" si="75"/>
        <v>0</v>
      </c>
      <c r="AH167" s="91">
        <f t="shared" si="75"/>
        <v>0</v>
      </c>
      <c r="AI167" s="91">
        <f t="shared" si="75"/>
        <v>0</v>
      </c>
      <c r="AJ167" s="91">
        <f t="shared" si="75"/>
        <v>0</v>
      </c>
    </row>
    <row r="168" spans="1:36" s="21" customFormat="1" outlineLevel="1" x14ac:dyDescent="0.15">
      <c r="A168" s="19"/>
      <c r="B168" s="19" t="s">
        <v>3</v>
      </c>
      <c r="C168" s="19"/>
      <c r="D168" s="20"/>
      <c r="E168" s="23"/>
      <c r="G168" s="21">
        <f t="shared" ref="G168:AJ168" si="76">-G149</f>
        <v>0</v>
      </c>
      <c r="H168" s="21">
        <f t="shared" si="76"/>
        <v>0</v>
      </c>
      <c r="I168" s="21">
        <f t="shared" si="76"/>
        <v>0</v>
      </c>
      <c r="J168" s="21">
        <f t="shared" si="76"/>
        <v>0</v>
      </c>
      <c r="K168" s="21">
        <f t="shared" si="76"/>
        <v>0</v>
      </c>
      <c r="L168" s="21">
        <f t="shared" si="76"/>
        <v>0</v>
      </c>
      <c r="M168" s="21">
        <f t="shared" si="76"/>
        <v>0</v>
      </c>
      <c r="N168" s="21">
        <f t="shared" si="76"/>
        <v>0</v>
      </c>
      <c r="O168" s="21">
        <f t="shared" si="76"/>
        <v>0</v>
      </c>
      <c r="P168" s="21">
        <f t="shared" si="76"/>
        <v>0</v>
      </c>
      <c r="Q168" s="21">
        <f t="shared" si="76"/>
        <v>0</v>
      </c>
      <c r="R168" s="21">
        <f t="shared" si="76"/>
        <v>0</v>
      </c>
      <c r="S168" s="21">
        <f t="shared" si="76"/>
        <v>0</v>
      </c>
      <c r="T168" s="21">
        <f t="shared" si="76"/>
        <v>0</v>
      </c>
      <c r="U168" s="21">
        <f t="shared" si="76"/>
        <v>0</v>
      </c>
      <c r="V168" s="21">
        <f t="shared" si="76"/>
        <v>-107043.23940944683</v>
      </c>
      <c r="W168" s="21">
        <f t="shared" si="76"/>
        <v>-505547.44761698903</v>
      </c>
      <c r="X168" s="21">
        <f t="shared" si="76"/>
        <v>-512914.61609454558</v>
      </c>
      <c r="Y168" s="21">
        <f t="shared" si="76"/>
        <v>-520491.14095146186</v>
      </c>
      <c r="Z168" s="21">
        <f t="shared" si="76"/>
        <v>-528428.59997448872</v>
      </c>
      <c r="AA168" s="21">
        <f t="shared" si="76"/>
        <v>-83834.674461657065</v>
      </c>
      <c r="AB168" s="21">
        <f t="shared" si="76"/>
        <v>-75374.40545089019</v>
      </c>
      <c r="AC168" s="21">
        <f t="shared" si="76"/>
        <v>-66789.004809908045</v>
      </c>
      <c r="AD168" s="21">
        <f t="shared" si="76"/>
        <v>-58075.969906106242</v>
      </c>
      <c r="AE168" s="21">
        <f t="shared" si="76"/>
        <v>-49232.748054228316</v>
      </c>
      <c r="AF168" s="21">
        <f t="shared" si="76"/>
        <v>-40256.735515312816</v>
      </c>
      <c r="AG168" s="21">
        <f t="shared" si="76"/>
        <v>-31145.276475619059</v>
      </c>
      <c r="AH168" s="21">
        <f t="shared" si="76"/>
        <v>-21895.662005131482</v>
      </c>
      <c r="AI168" s="21">
        <f t="shared" si="76"/>
        <v>-12505.128995234089</v>
      </c>
      <c r="AJ168" s="21">
        <f t="shared" si="76"/>
        <v>-2970.859075138811</v>
      </c>
    </row>
    <row r="169" spans="1:36" s="21" customFormat="1" outlineLevel="1" x14ac:dyDescent="0.15">
      <c r="A169" s="46"/>
      <c r="B169" s="46" t="s">
        <v>10</v>
      </c>
      <c r="C169" s="46"/>
      <c r="D169" s="47"/>
      <c r="E169" s="48"/>
      <c r="F169" s="28"/>
      <c r="G169" s="28">
        <f>SUM(G164:G168)</f>
        <v>-2106161.1111111115</v>
      </c>
      <c r="H169" s="28">
        <f t="shared" ref="H169:AJ169" si="77">SUM(H164:H168)</f>
        <v>-2080424.7500000002</v>
      </c>
      <c r="I169" s="28">
        <f t="shared" si="77"/>
        <v>-2054445.1000000003</v>
      </c>
      <c r="J169" s="28">
        <f t="shared" si="77"/>
        <v>-2028217.2953333331</v>
      </c>
      <c r="K169" s="28">
        <f t="shared" si="77"/>
        <v>-2001736.3729066667</v>
      </c>
      <c r="L169" s="28">
        <f t="shared" si="77"/>
        <v>-1974997.2703648</v>
      </c>
      <c r="M169" s="28">
        <f t="shared" si="77"/>
        <v>-1947994.8241054297</v>
      </c>
      <c r="N169" s="28">
        <f t="shared" si="77"/>
        <v>-1920723.7672542045</v>
      </c>
      <c r="O169" s="28">
        <f t="shared" si="77"/>
        <v>-1893178.7275992888</v>
      </c>
      <c r="P169" s="28">
        <f t="shared" si="77"/>
        <v>-1865354.225484608</v>
      </c>
      <c r="Q169" s="28">
        <f t="shared" si="77"/>
        <v>-1837244.6716609669</v>
      </c>
      <c r="R169" s="28">
        <f t="shared" si="77"/>
        <v>-1808844.3650941863</v>
      </c>
      <c r="S169" s="28">
        <f t="shared" si="77"/>
        <v>-1780147.4907294032</v>
      </c>
      <c r="T169" s="28">
        <f t="shared" si="77"/>
        <v>-1751148.1172106583</v>
      </c>
      <c r="U169" s="28">
        <f t="shared" si="77"/>
        <v>-1721840.1945548709</v>
      </c>
      <c r="V169" s="28">
        <f t="shared" si="77"/>
        <v>-1830664.3857496451</v>
      </c>
      <c r="W169" s="28">
        <f t="shared" si="77"/>
        <v>-2199853.0085506579</v>
      </c>
      <c r="X169" s="28">
        <f t="shared" si="77"/>
        <v>-2177589.7182468874</v>
      </c>
      <c r="Y169" s="28">
        <f t="shared" si="77"/>
        <v>-2154984.3450666089</v>
      </c>
      <c r="Z169" s="28">
        <f t="shared" si="77"/>
        <v>-528428.59997448872</v>
      </c>
      <c r="AA169" s="28">
        <f t="shared" si="77"/>
        <v>-83834.674461657065</v>
      </c>
      <c r="AB169" s="28">
        <f t="shared" si="77"/>
        <v>-75374.40545089019</v>
      </c>
      <c r="AC169" s="28">
        <f t="shared" si="77"/>
        <v>-66789.004809908045</v>
      </c>
      <c r="AD169" s="28">
        <f t="shared" si="77"/>
        <v>-58075.969906106242</v>
      </c>
      <c r="AE169" s="28">
        <f t="shared" si="77"/>
        <v>-49232.748054228316</v>
      </c>
      <c r="AF169" s="28">
        <f t="shared" si="77"/>
        <v>-40256.735515312816</v>
      </c>
      <c r="AG169" s="28">
        <f t="shared" si="77"/>
        <v>-31145.276475619059</v>
      </c>
      <c r="AH169" s="28">
        <f t="shared" si="77"/>
        <v>-21895.662005131482</v>
      </c>
      <c r="AI169" s="28">
        <f t="shared" si="77"/>
        <v>-12505.128995234089</v>
      </c>
      <c r="AJ169" s="28">
        <f t="shared" si="77"/>
        <v>-2970.859075138811</v>
      </c>
    </row>
    <row r="170" spans="1:36" s="21" customFormat="1" outlineLevel="1" x14ac:dyDescent="0.15">
      <c r="A170" s="19"/>
      <c r="B170" s="19"/>
      <c r="C170" s="19"/>
      <c r="D170" s="20"/>
      <c r="E170" s="22"/>
    </row>
    <row r="171" spans="1:36" s="21" customFormat="1" outlineLevel="1" x14ac:dyDescent="0.15">
      <c r="A171" s="19"/>
      <c r="B171" s="19"/>
      <c r="C171" s="19"/>
      <c r="D171" s="20"/>
      <c r="E171" s="22"/>
    </row>
    <row r="172" spans="1:36" s="21" customFormat="1" outlineLevel="1" x14ac:dyDescent="0.15">
      <c r="A172" s="19" t="s">
        <v>4</v>
      </c>
      <c r="B172" s="19"/>
      <c r="C172" s="19"/>
      <c r="D172" s="20"/>
      <c r="E172" s="147"/>
      <c r="F172" s="28">
        <f t="shared" ref="F172:AI172" si="78">SUM(G169,G162)</f>
        <v>737156.38888888899</v>
      </c>
      <c r="G172" s="28">
        <f t="shared" si="78"/>
        <v>728148.66250000033</v>
      </c>
      <c r="H172" s="28">
        <f t="shared" si="78"/>
        <v>719055.78500000038</v>
      </c>
      <c r="I172" s="28">
        <f t="shared" si="78"/>
        <v>709876.05336666689</v>
      </c>
      <c r="J172" s="28">
        <f t="shared" si="78"/>
        <v>700607.73051733384</v>
      </c>
      <c r="K172" s="28">
        <f t="shared" si="78"/>
        <v>691249.04462768044</v>
      </c>
      <c r="L172" s="28">
        <f t="shared" si="78"/>
        <v>681798.1884369005</v>
      </c>
      <c r="M172" s="28">
        <f t="shared" si="78"/>
        <v>672253.31853897171</v>
      </c>
      <c r="N172" s="28">
        <f t="shared" si="78"/>
        <v>662612.55465975124</v>
      </c>
      <c r="O172" s="28">
        <f t="shared" si="78"/>
        <v>652873.97891961294</v>
      </c>
      <c r="P172" s="28">
        <f t="shared" si="78"/>
        <v>643035.63508133846</v>
      </c>
      <c r="Q172" s="28">
        <f t="shared" si="78"/>
        <v>633095.52778296499</v>
      </c>
      <c r="R172" s="28">
        <f t="shared" si="78"/>
        <v>623051.62175529124</v>
      </c>
      <c r="S172" s="28">
        <f t="shared" si="78"/>
        <v>612901.84102373058</v>
      </c>
      <c r="T172" s="28">
        <f t="shared" si="78"/>
        <v>602644.06809420511</v>
      </c>
      <c r="U172" s="28">
        <f t="shared" si="78"/>
        <v>496224.16180962278</v>
      </c>
      <c r="V172" s="28">
        <f t="shared" si="78"/>
        <v>87459.498709795065</v>
      </c>
      <c r="W172" s="28">
        <f t="shared" si="78"/>
        <v>69721.66965877451</v>
      </c>
      <c r="X172" s="28">
        <f t="shared" si="78"/>
        <v>51892.342847166583</v>
      </c>
      <c r="Y172" s="28">
        <f t="shared" si="78"/>
        <v>1637571.1356975622</v>
      </c>
      <c r="Z172" s="28">
        <f t="shared" si="78"/>
        <v>251504.02338497119</v>
      </c>
      <c r="AA172" s="28">
        <f t="shared" si="78"/>
        <v>226123.21635267057</v>
      </c>
      <c r="AB172" s="28">
        <f t="shared" si="78"/>
        <v>200367.01442972413</v>
      </c>
      <c r="AC172" s="28">
        <f t="shared" si="78"/>
        <v>174227.90971831873</v>
      </c>
      <c r="AD172" s="28">
        <f t="shared" si="78"/>
        <v>147698.24416268495</v>
      </c>
      <c r="AE172" s="28">
        <f t="shared" si="78"/>
        <v>120770.20654593845</v>
      </c>
      <c r="AF172" s="28">
        <f t="shared" si="78"/>
        <v>93435.829426857177</v>
      </c>
      <c r="AG172" s="28">
        <f t="shared" si="78"/>
        <v>65686.986015394446</v>
      </c>
      <c r="AH172" s="28">
        <f t="shared" si="78"/>
        <v>37515.386985702266</v>
      </c>
      <c r="AI172" s="28">
        <f t="shared" si="78"/>
        <v>8912.5772254164331</v>
      </c>
    </row>
    <row r="173" spans="1:36" s="21" customFormat="1" outlineLevel="1" x14ac:dyDescent="0.15">
      <c r="A173" s="19" t="s">
        <v>92</v>
      </c>
      <c r="B173" s="19"/>
      <c r="C173" s="19"/>
      <c r="D173" s="20"/>
      <c r="E173" s="148">
        <f>-K21</f>
        <v>-30538675.796235498</v>
      </c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1"/>
    </row>
    <row r="174" spans="1:36" s="21" customFormat="1" outlineLevel="1" x14ac:dyDescent="0.15">
      <c r="A174" s="19" t="s">
        <v>98</v>
      </c>
      <c r="B174" s="19"/>
      <c r="C174" s="19"/>
      <c r="D174" s="20"/>
      <c r="E174" s="148">
        <f>G99</f>
        <v>23669373.045204047</v>
      </c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1"/>
    </row>
    <row r="175" spans="1:36" s="21" customFormat="1" outlineLevel="1" x14ac:dyDescent="0.15">
      <c r="A175" s="19" t="s">
        <v>99</v>
      </c>
      <c r="B175" s="19"/>
      <c r="C175" s="19"/>
      <c r="D175" s="20"/>
      <c r="E175" s="149">
        <f>SUM(E172:E174)</f>
        <v>-6869302.7510314509</v>
      </c>
      <c r="F175" s="150">
        <f t="shared" ref="F175:AI175" si="79">SUM(F172:F174)</f>
        <v>737156.38888888899</v>
      </c>
      <c r="G175" s="150">
        <f t="shared" si="79"/>
        <v>728148.66250000033</v>
      </c>
      <c r="H175" s="150">
        <f t="shared" si="79"/>
        <v>719055.78500000038</v>
      </c>
      <c r="I175" s="150">
        <f t="shared" si="79"/>
        <v>709876.05336666689</v>
      </c>
      <c r="J175" s="150">
        <f t="shared" si="79"/>
        <v>700607.73051733384</v>
      </c>
      <c r="K175" s="150">
        <f t="shared" si="79"/>
        <v>691249.04462768044</v>
      </c>
      <c r="L175" s="150">
        <f t="shared" si="79"/>
        <v>681798.1884369005</v>
      </c>
      <c r="M175" s="150">
        <f t="shared" si="79"/>
        <v>672253.31853897171</v>
      </c>
      <c r="N175" s="150">
        <f t="shared" si="79"/>
        <v>662612.55465975124</v>
      </c>
      <c r="O175" s="150">
        <f t="shared" si="79"/>
        <v>652873.97891961294</v>
      </c>
      <c r="P175" s="150">
        <f t="shared" si="79"/>
        <v>643035.63508133846</v>
      </c>
      <c r="Q175" s="150">
        <f t="shared" si="79"/>
        <v>633095.52778296499</v>
      </c>
      <c r="R175" s="150">
        <f t="shared" si="79"/>
        <v>623051.62175529124</v>
      </c>
      <c r="S175" s="150">
        <f t="shared" si="79"/>
        <v>612901.84102373058</v>
      </c>
      <c r="T175" s="150">
        <f t="shared" si="79"/>
        <v>602644.06809420511</v>
      </c>
      <c r="U175" s="150">
        <f t="shared" si="79"/>
        <v>496224.16180962278</v>
      </c>
      <c r="V175" s="150">
        <f t="shared" si="79"/>
        <v>87459.498709795065</v>
      </c>
      <c r="W175" s="150">
        <f t="shared" si="79"/>
        <v>69721.66965877451</v>
      </c>
      <c r="X175" s="150">
        <f t="shared" si="79"/>
        <v>51892.342847166583</v>
      </c>
      <c r="Y175" s="150">
        <f t="shared" si="79"/>
        <v>1637571.1356975622</v>
      </c>
      <c r="Z175" s="150">
        <f t="shared" si="79"/>
        <v>251504.02338497119</v>
      </c>
      <c r="AA175" s="150">
        <f t="shared" si="79"/>
        <v>226123.21635267057</v>
      </c>
      <c r="AB175" s="150">
        <f t="shared" si="79"/>
        <v>200367.01442972413</v>
      </c>
      <c r="AC175" s="150">
        <f t="shared" si="79"/>
        <v>174227.90971831873</v>
      </c>
      <c r="AD175" s="150">
        <f t="shared" si="79"/>
        <v>147698.24416268495</v>
      </c>
      <c r="AE175" s="150">
        <f t="shared" si="79"/>
        <v>120770.20654593845</v>
      </c>
      <c r="AF175" s="150">
        <f t="shared" si="79"/>
        <v>93435.829426857177</v>
      </c>
      <c r="AG175" s="150">
        <f t="shared" si="79"/>
        <v>65686.986015394446</v>
      </c>
      <c r="AH175" s="150">
        <f t="shared" si="79"/>
        <v>37515.386985702266</v>
      </c>
      <c r="AI175" s="150">
        <f t="shared" si="79"/>
        <v>8912.5772254164331</v>
      </c>
    </row>
    <row r="176" spans="1:36" s="21" customFormat="1" outlineLevel="1" x14ac:dyDescent="0.15">
      <c r="A176" s="19"/>
      <c r="B176" s="19"/>
      <c r="C176" s="19"/>
      <c r="D176" s="20"/>
      <c r="F176" s="22"/>
    </row>
    <row r="177" spans="1:36" s="21" customFormat="1" outlineLevel="1" x14ac:dyDescent="0.15">
      <c r="A177" s="19" t="s">
        <v>121</v>
      </c>
      <c r="B177" s="19"/>
      <c r="C177" s="19"/>
      <c r="D177" s="20"/>
      <c r="F177" s="22">
        <f>SUM(E175,F175)</f>
        <v>-6132146.3621425619</v>
      </c>
      <c r="G177" s="22">
        <f>SUM(F177,G175)</f>
        <v>-5403997.6996425614</v>
      </c>
      <c r="H177" s="22">
        <f t="shared" ref="H177:AI177" si="80">SUM(G177,H175)</f>
        <v>-4684941.9146425612</v>
      </c>
      <c r="I177" s="22">
        <f t="shared" si="80"/>
        <v>-3975065.8612758946</v>
      </c>
      <c r="J177" s="22">
        <f t="shared" si="80"/>
        <v>-3274458.1307585607</v>
      </c>
      <c r="K177" s="22">
        <f t="shared" si="80"/>
        <v>-2583209.0861308803</v>
      </c>
      <c r="L177" s="22">
        <f t="shared" si="80"/>
        <v>-1901410.8976939798</v>
      </c>
      <c r="M177" s="22">
        <f t="shared" si="80"/>
        <v>-1229157.5791550081</v>
      </c>
      <c r="N177" s="22">
        <f t="shared" si="80"/>
        <v>-566545.02449525683</v>
      </c>
      <c r="O177" s="22">
        <f t="shared" si="80"/>
        <v>86328.95442435611</v>
      </c>
      <c r="P177" s="22">
        <f t="shared" si="80"/>
        <v>729364.58950569457</v>
      </c>
      <c r="Q177" s="22">
        <f t="shared" si="80"/>
        <v>1362460.1172886596</v>
      </c>
      <c r="R177" s="22">
        <f t="shared" si="80"/>
        <v>1985511.7390439508</v>
      </c>
      <c r="S177" s="22">
        <f t="shared" si="80"/>
        <v>2598413.5800676811</v>
      </c>
      <c r="T177" s="22">
        <f t="shared" si="80"/>
        <v>3201057.6481618863</v>
      </c>
      <c r="U177" s="22">
        <f t="shared" si="80"/>
        <v>3697281.809971509</v>
      </c>
      <c r="V177" s="22">
        <f t="shared" si="80"/>
        <v>3784741.3086813041</v>
      </c>
      <c r="W177" s="22">
        <f t="shared" si="80"/>
        <v>3854462.9783400786</v>
      </c>
      <c r="X177" s="22">
        <f t="shared" si="80"/>
        <v>3906355.3211872452</v>
      </c>
      <c r="Y177" s="22">
        <f t="shared" si="80"/>
        <v>5543926.456884807</v>
      </c>
      <c r="Z177" s="22">
        <f t="shared" si="80"/>
        <v>5795430.4802697785</v>
      </c>
      <c r="AA177" s="22">
        <f t="shared" si="80"/>
        <v>6021553.696622449</v>
      </c>
      <c r="AB177" s="22">
        <f t="shared" si="80"/>
        <v>6221920.7110521728</v>
      </c>
      <c r="AC177" s="22">
        <f t="shared" si="80"/>
        <v>6396148.6207704917</v>
      </c>
      <c r="AD177" s="22">
        <f t="shared" si="80"/>
        <v>6543846.8649331769</v>
      </c>
      <c r="AE177" s="22">
        <f t="shared" si="80"/>
        <v>6664617.0714791156</v>
      </c>
      <c r="AF177" s="22">
        <f t="shared" si="80"/>
        <v>6758052.9009059723</v>
      </c>
      <c r="AG177" s="22">
        <f t="shared" si="80"/>
        <v>6823739.8869213667</v>
      </c>
      <c r="AH177" s="22">
        <f t="shared" si="80"/>
        <v>6861255.2739070691</v>
      </c>
      <c r="AI177" s="22">
        <f t="shared" si="80"/>
        <v>6870167.851132486</v>
      </c>
      <c r="AJ177" s="22"/>
    </row>
    <row r="178" spans="1:36" s="21" customFormat="1" outlineLevel="1" x14ac:dyDescent="0.15">
      <c r="A178" s="19"/>
      <c r="B178" s="19"/>
      <c r="C178" s="19"/>
      <c r="D178" s="20"/>
    </row>
    <row r="179" spans="1:36" s="21" customFormat="1" outlineLevel="1" x14ac:dyDescent="0.15">
      <c r="A179" s="19" t="s">
        <v>100</v>
      </c>
      <c r="B179" s="19"/>
      <c r="C179" s="19"/>
      <c r="D179" s="20"/>
      <c r="E179" s="152">
        <f>XIRR(E175:AI175,F2:AJ2)</f>
        <v>7.5091174244880696E-2</v>
      </c>
    </row>
    <row r="180" spans="1:36" s="21" customFormat="1" outlineLevel="1" x14ac:dyDescent="0.15">
      <c r="A180" s="19" t="s">
        <v>101</v>
      </c>
      <c r="B180" s="19"/>
      <c r="C180" s="19"/>
      <c r="D180" s="20"/>
      <c r="E180" s="153" t="str">
        <f>IFERROR(XIRR($E$175:E175,$F$2:F2),"N/A")</f>
        <v>N/A</v>
      </c>
      <c r="F180" s="154">
        <f>IFERROR(XIRR($E$175:F175,$F$2:G2),"N/A")</f>
        <v>-0.89203189387917514</v>
      </c>
      <c r="G180" s="154">
        <f>IFERROR(XIRR($E$175:G175,$F$2:H2),"N/A")</f>
        <v>-0.61579056717455405</v>
      </c>
      <c r="H180" s="154">
        <f>IFERROR(XIRR($E$175:H175,$F$2:I2),"N/A")</f>
        <v>-0.41062986478209507</v>
      </c>
      <c r="I180" s="154">
        <f>IFERROR(XIRR($E$175:I175,$F$2:J2),"N/A")</f>
        <v>-0.27517959699034689</v>
      </c>
      <c r="J180" s="154">
        <f>IFERROR(XIRR($E$175:J175,$F$2:K2),"N/A")</f>
        <v>-0.18422594293951994</v>
      </c>
      <c r="K180" s="154">
        <f>IFERROR(XIRR($E$175:K175,$F$2:L2),"N/A")</f>
        <v>-0.12110480405390261</v>
      </c>
      <c r="L180" s="154">
        <f>IFERROR(XIRR($E$175:L175,$F$2:M2),"N/A")</f>
        <v>-7.5828650593757638E-2</v>
      </c>
      <c r="M180" s="154">
        <f>IFERROR(XIRR($E$175:M175,$F$2:N2),"N/A")</f>
        <v>-4.2415717244148249E-2</v>
      </c>
      <c r="N180" s="154">
        <f>IFERROR(XIRR($E$175:N175,$F$2:O2),"N/A")</f>
        <v>-1.7157831788063051E-2</v>
      </c>
      <c r="O180" s="154">
        <f>IFERROR(XIRR($E$175:O175,$F$2:P2),"N/A")</f>
        <v>2.322247624397279E-3</v>
      </c>
      <c r="P180" s="154">
        <f>IFERROR(XIRR($E$175:P175,$F$2:Q2),"N/A")</f>
        <v>1.7606088519096372E-2</v>
      </c>
      <c r="Q180" s="154">
        <f>IFERROR(XIRR($E$175:Q175,$F$2:R2),"N/A")</f>
        <v>2.9773858189582825E-2</v>
      </c>
      <c r="R180" s="154">
        <f>IFERROR(XIRR($E$175:R175,$F$2:S2),"N/A")</f>
        <v>3.958179652690888E-2</v>
      </c>
      <c r="S180" s="154">
        <f>IFERROR(XIRR($E$175:S175,$F$2:T2),"N/A")</f>
        <v>4.7573909163475023E-2</v>
      </c>
      <c r="T180" s="154">
        <f>IFERROR(XIRR($E$175:T175,$F$2:U2),"N/A")</f>
        <v>5.414773523807527E-2</v>
      </c>
      <c r="U180" s="154">
        <f>IFERROR(XIRR($E$175:U175,$F$2:V2),"N/A")</f>
        <v>5.8754995465278625E-2</v>
      </c>
      <c r="V180" s="154">
        <f>IFERROR(XIRR($E$175:V175,$F$2:W2),"N/A")</f>
        <v>5.9481397271156311E-2</v>
      </c>
      <c r="W180" s="154">
        <f>IFERROR(XIRR($E$175:W175,$F$2:X2),"N/A")</f>
        <v>6.0020181536674488E-2</v>
      </c>
      <c r="X180" s="154">
        <f>IFERROR(XIRR($E$175:X175,$F$2:Y2),"N/A")</f>
        <v>6.0394278168678275E-2</v>
      </c>
      <c r="Y180" s="154">
        <f>IFERROR(XIRR($E$175:Y175,$F$2:Z2),"N/A")</f>
        <v>7.0095357298850997E-2</v>
      </c>
      <c r="Z180" s="154">
        <f>IFERROR(XIRR($E$175:Z175,$F$2:AA2),"N/A")</f>
        <v>7.1303781867027294E-2</v>
      </c>
      <c r="AA180" s="154">
        <f>IFERROR(XIRR($E$175:AA175,$F$2:AB2),"N/A")</f>
        <v>7.2286996245384219E-2</v>
      </c>
      <c r="AB180" s="154">
        <f>IFERROR(XIRR($E$175:AB175,$F$2:AC2),"N/A")</f>
        <v>7.3078182339668299E-2</v>
      </c>
      <c r="AC180" s="154">
        <f>IFERROR(XIRR($E$175:AC175,$F$2:AD2),"N/A")</f>
        <v>7.3705080151557953E-2</v>
      </c>
      <c r="AD180" s="154">
        <f>IFERROR(XIRR($E$175:AD175,$F$2:AE2),"N/A")</f>
        <v>7.419085204601289E-2</v>
      </c>
      <c r="AE180" s="154">
        <f>IFERROR(XIRR($E$175:AE175,$F$2:AF2),"N/A")</f>
        <v>7.4555161595344546E-2</v>
      </c>
      <c r="AF180" s="154">
        <f>IFERROR(XIRR($E$175:AF175,$F$2:AG2),"N/A")</f>
        <v>7.4814465641975428E-2</v>
      </c>
      <c r="AG180" s="154">
        <f>IFERROR(XIRR($E$175:AG175,$F$2:AH2),"N/A")</f>
        <v>7.4982681870460519E-2</v>
      </c>
      <c r="AH180" s="154">
        <f>IFERROR(XIRR($E$175:AH175,$F$2:AI2),"N/A")</f>
        <v>7.5071576237678531E-2</v>
      </c>
      <c r="AI180" s="155">
        <f>IFERROR(XIRR($E$175:AI175,$F$2:AJ2),"N/A")</f>
        <v>7.5091174244880696E-2</v>
      </c>
    </row>
    <row r="181" spans="1:36" s="21" customFormat="1" outlineLevel="1" x14ac:dyDescent="0.15">
      <c r="A181" s="19" t="s">
        <v>103</v>
      </c>
      <c r="B181" s="19"/>
      <c r="C181" s="19"/>
      <c r="D181" s="20"/>
      <c r="E181" s="156">
        <f>SUM(F175:AI175)/-E175</f>
        <v>2.0001259371048836</v>
      </c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</row>
    <row r="182" spans="1:36" s="21" customFormat="1" ht="15.75" customHeight="1" outlineLevel="1" x14ac:dyDescent="0.15">
      <c r="A182" s="19" t="s">
        <v>102</v>
      </c>
      <c r="B182" s="19"/>
      <c r="C182" s="19"/>
      <c r="D182" s="20"/>
      <c r="E182" s="157" t="s">
        <v>139</v>
      </c>
      <c r="F182" s="158">
        <f>SUM($F$175:F175)/-$E$175</f>
        <v>0.10731167566871358</v>
      </c>
      <c r="G182" s="158">
        <f>SUM($F$175:G175)/-$E$175</f>
        <v>0.21331204992659095</v>
      </c>
      <c r="H182" s="158">
        <f>SUM($F$175:H175)/-$E$175</f>
        <v>0.31798872688511215</v>
      </c>
      <c r="I182" s="158">
        <f>SUM($F$175:I175)/-$E$175</f>
        <v>0.42132906273798693</v>
      </c>
      <c r="J182" s="158">
        <f>SUM($F$175:J175)/-$E$175</f>
        <v>0.52332016080279931</v>
      </c>
      <c r="K182" s="158">
        <f>SUM($F$175:K175)/-$E$175</f>
        <v>0.62394886646348469</v>
      </c>
      <c r="L182" s="158">
        <f>SUM($F$175:L175)/-$E$175</f>
        <v>0.72320176201165742</v>
      </c>
      <c r="M182" s="158">
        <f>SUM($F$175:M175)/-$E$175</f>
        <v>0.82106516138476426</v>
      </c>
      <c r="N182" s="158">
        <f>SUM($F$175:N175)/-$E$175</f>
        <v>0.91752510479900051</v>
      </c>
      <c r="O182" s="158">
        <f>SUM($F$175:O175)/-$E$175</f>
        <v>1.0125673532748858</v>
      </c>
      <c r="P182" s="158">
        <f>SUM($F$175:P175)/-$E$175</f>
        <v>1.1061773830533497</v>
      </c>
      <c r="Q182" s="158">
        <f>SUM($F$175:Q175)/-$E$175</f>
        <v>1.1983403799001409</v>
      </c>
      <c r="R182" s="158">
        <f>SUM($F$175:R175)/-$E$175</f>
        <v>1.2890412332963224</v>
      </c>
      <c r="S182" s="158">
        <f>SUM($F$175:S175)/-$E$175</f>
        <v>1.3782645305125794</v>
      </c>
      <c r="T182" s="158">
        <f>SUM($F$175:T175)/-$E$175</f>
        <v>1.4659945505650098</v>
      </c>
      <c r="U182" s="158">
        <f>SUM($F$175:U175)/-$E$175</f>
        <v>1.5382324733636683</v>
      </c>
      <c r="V182" s="158">
        <f>SUM($F$175:V175)/-$E$175</f>
        <v>1.5509644058289631</v>
      </c>
      <c r="W182" s="158">
        <f>SUM($F$175:W175)/-$E$175</f>
        <v>1.5611141505972084</v>
      </c>
      <c r="X182" s="158">
        <f>SUM($F$175:X175)/-$E$175</f>
        <v>1.5686683878652303</v>
      </c>
      <c r="Y182" s="158">
        <f>SUM($F$175:Y175)/-$E$175</f>
        <v>1.8070581044127612</v>
      </c>
      <c r="Z182" s="158">
        <f>SUM($F$175:Z175)/-$E$175</f>
        <v>1.8436708484568649</v>
      </c>
      <c r="AA182" s="158">
        <f>SUM($F$175:AA175)/-$E$175</f>
        <v>1.8765887768912637</v>
      </c>
      <c r="AB182" s="158">
        <f>SUM($F$175:AB175)/-$E$175</f>
        <v>1.9057572415363309</v>
      </c>
      <c r="AC182" s="158">
        <f>SUM($F$175:AC175)/-$E$175</f>
        <v>1.9311205012488477</v>
      </c>
      <c r="AD182" s="158">
        <f>SUM($F$175:AD175)/-$E$175</f>
        <v>1.9526217000627313</v>
      </c>
      <c r="AE182" s="158">
        <f>SUM($F$175:AE175)/-$E$175</f>
        <v>1.9702028448925766</v>
      </c>
      <c r="AF182" s="158">
        <f>SUM($F$175:AF175)/-$E$175</f>
        <v>1.9838047827912704</v>
      </c>
      <c r="AG182" s="158">
        <f>SUM($F$175:AG175)/-$E$175</f>
        <v>1.9933671777527577</v>
      </c>
      <c r="AH182" s="158">
        <f>SUM($F$175:AH175)/-$E$175</f>
        <v>1.9988284870508621</v>
      </c>
      <c r="AI182" s="159">
        <f>SUM($F$175:AI175)/-$E$175</f>
        <v>2.0001259371048836</v>
      </c>
    </row>
    <row r="183" spans="1:36" s="21" customFormat="1" outlineLevel="1" x14ac:dyDescent="0.15">
      <c r="A183" s="19" t="s">
        <v>9</v>
      </c>
      <c r="B183" s="19"/>
      <c r="C183" s="19"/>
      <c r="D183" s="20"/>
      <c r="E183" s="160">
        <f>COUNTIF($F$177:$AI$177,"&lt;"&amp;0)+(-INDEX($F$177:$AI$177,MATCH(COUNTIF($F$177:$AI$177,"&lt;"&amp;0),$G$49:$AJ$49,0)))/INDEX($F$175:$AI$175,MATCH(COUNTIF($F$177:$AI$177,"&lt;"&amp;0)+1,$G$49:$AJ$49,0))</f>
        <v>9.8677708758324005</v>
      </c>
      <c r="F183" s="20"/>
      <c r="G183" s="19"/>
      <c r="H183" s="19"/>
      <c r="I183" s="30"/>
      <c r="J183" s="3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spans="1:36" s="21" customFormat="1" x14ac:dyDescent="0.15">
      <c r="A184" s="19"/>
      <c r="B184" s="19"/>
      <c r="C184" s="19"/>
      <c r="D184" s="20"/>
      <c r="E184" s="223"/>
      <c r="F184" s="22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</row>
    <row r="185" spans="1:36" s="38" customFormat="1" ht="18.75" customHeight="1" x14ac:dyDescent="0.2">
      <c r="A185" s="4" t="s">
        <v>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6.5" customHeight="1" outlineLevel="1" x14ac:dyDescent="0.15"/>
    <row r="187" spans="1:36" outlineLevel="1" x14ac:dyDescent="0.15">
      <c r="H187" s="13"/>
    </row>
    <row r="188" spans="1:36" ht="15.75" customHeight="1" outlineLevel="1" x14ac:dyDescent="0.15">
      <c r="F188" s="233" t="s">
        <v>5</v>
      </c>
      <c r="G188" s="233"/>
      <c r="H188" s="233"/>
      <c r="I188" s="233"/>
      <c r="J188" s="233"/>
      <c r="K188" s="233"/>
      <c r="L188" s="233"/>
    </row>
    <row r="189" spans="1:36" outlineLevel="1" x14ac:dyDescent="0.15">
      <c r="G189" s="31"/>
      <c r="H189" s="32" t="s">
        <v>104</v>
      </c>
      <c r="I189" s="32"/>
      <c r="J189" s="32"/>
      <c r="K189" s="32"/>
      <c r="L189" s="32"/>
    </row>
    <row r="190" spans="1:36" outlineLevel="1" x14ac:dyDescent="0.15">
      <c r="G190" s="33">
        <f>E179</f>
        <v>7.5091174244880696E-2</v>
      </c>
      <c r="H190" s="164">
        <v>76.75</v>
      </c>
      <c r="I190" s="161">
        <f>H190-4</f>
        <v>72.75</v>
      </c>
      <c r="J190" s="161">
        <f t="shared" ref="J190:L190" si="81">I190-4</f>
        <v>68.75</v>
      </c>
      <c r="K190" s="161">
        <f t="shared" si="81"/>
        <v>64.75</v>
      </c>
      <c r="L190" s="161">
        <f t="shared" si="81"/>
        <v>60.75</v>
      </c>
    </row>
    <row r="191" spans="1:36" outlineLevel="1" x14ac:dyDescent="0.15">
      <c r="F191" s="234" t="s">
        <v>21</v>
      </c>
      <c r="G191" s="45">
        <v>22</v>
      </c>
      <c r="H191" s="194">
        <f t="dataTable" ref="H191:L199" dt2D="1" dtr="1" r1="P17" r2="Q10" ca="1"/>
        <v>0.13536931872367863</v>
      </c>
      <c r="I191" s="194">
        <v>8.4279569983482364E-2</v>
      </c>
      <c r="J191" s="194">
        <v>5.2218857407569902E-2</v>
      </c>
      <c r="K191" s="194">
        <v>2.9363587498664856E-2</v>
      </c>
      <c r="L191" s="194">
        <v>1.1865803599357603E-2</v>
      </c>
    </row>
    <row r="192" spans="1:36" outlineLevel="1" x14ac:dyDescent="0.15">
      <c r="F192" s="234"/>
      <c r="G192" s="34">
        <f>G191-1</f>
        <v>21</v>
      </c>
      <c r="H192" s="162">
        <v>0.13242802023887632</v>
      </c>
      <c r="I192" s="162">
        <v>8.0154576897621163E-2</v>
      </c>
      <c r="J192" s="162">
        <v>4.7536596655845628E-2</v>
      </c>
      <c r="K192" s="162">
        <v>2.4569341540336614E-2</v>
      </c>
      <c r="L192" s="162">
        <v>7.2860330343246455E-3</v>
      </c>
    </row>
    <row r="193" spans="6:12" outlineLevel="1" x14ac:dyDescent="0.15">
      <c r="F193" s="234"/>
      <c r="G193" s="34">
        <f t="shared" ref="G193:G199" si="82">G192-1</f>
        <v>20</v>
      </c>
      <c r="H193" s="162">
        <v>0.12876279950141911</v>
      </c>
      <c r="I193" s="162">
        <v>7.5091174244880696E-2</v>
      </c>
      <c r="J193" s="162">
        <v>4.1894784569740301E-2</v>
      </c>
      <c r="K193" s="162">
        <v>1.8925973773002629E-2</v>
      </c>
      <c r="L193" s="162">
        <v>2.0403176546096805E-3</v>
      </c>
    </row>
    <row r="194" spans="6:12" outlineLevel="1" x14ac:dyDescent="0.15">
      <c r="F194" s="234"/>
      <c r="G194" s="34">
        <f t="shared" si="82"/>
        <v>19</v>
      </c>
      <c r="H194" s="162">
        <v>0.1241250693798065</v>
      </c>
      <c r="I194" s="162">
        <v>6.8762633204460161E-2</v>
      </c>
      <c r="J194" s="162">
        <v>3.4990254044532779E-2</v>
      </c>
      <c r="K194" s="162">
        <v>1.2215402722358704E-2</v>
      </c>
      <c r="L194" s="162">
        <v>-3.9699822664260856E-3</v>
      </c>
    </row>
    <row r="195" spans="6:12" outlineLevel="1" x14ac:dyDescent="0.15">
      <c r="F195" s="234"/>
      <c r="G195" s="34">
        <f t="shared" si="82"/>
        <v>18</v>
      </c>
      <c r="H195" s="162">
        <v>0.10329220890998841</v>
      </c>
      <c r="I195" s="162">
        <v>5.7152476906776439E-2</v>
      </c>
      <c r="J195" s="162">
        <v>2.7667245268821715E-2</v>
      </c>
      <c r="K195" s="162">
        <v>7.2741419076919559E-3</v>
      </c>
      <c r="L195" s="162">
        <v>-7.590851187705994E-3</v>
      </c>
    </row>
    <row r="196" spans="6:12" outlineLevel="1" x14ac:dyDescent="0.15">
      <c r="F196" s="234"/>
      <c r="G196" s="34">
        <f t="shared" si="82"/>
        <v>17</v>
      </c>
      <c r="H196" s="162">
        <v>8.4700825810432451E-2</v>
      </c>
      <c r="I196" s="162">
        <v>4.6151724457740795E-2</v>
      </c>
      <c r="J196" s="162">
        <v>2.0502498745918276E-2</v>
      </c>
      <c r="K196" s="162">
        <v>2.3338288068771359E-3</v>
      </c>
      <c r="L196" s="162">
        <v>-1.2340405583381654E-2</v>
      </c>
    </row>
    <row r="197" spans="6:12" outlineLevel="1" x14ac:dyDescent="0.15">
      <c r="F197" s="234"/>
      <c r="G197" s="34">
        <f t="shared" si="82"/>
        <v>16</v>
      </c>
      <c r="H197" s="162">
        <v>6.7906740307807925E-2</v>
      </c>
      <c r="I197" s="162">
        <v>3.5698375105857855E-2</v>
      </c>
      <c r="J197" s="162">
        <v>1.3499513268470764E-2</v>
      </c>
      <c r="K197" s="162">
        <v>-2.5363594293594371E-3</v>
      </c>
      <c r="L197" s="162">
        <v>-1.7181161046028137E-2</v>
      </c>
    </row>
    <row r="198" spans="6:12" outlineLevel="1" x14ac:dyDescent="0.15">
      <c r="F198" s="234"/>
      <c r="G198" s="34">
        <f t="shared" si="82"/>
        <v>15</v>
      </c>
      <c r="H198" s="162">
        <v>5.2555897831916817E-2</v>
      </c>
      <c r="I198" s="162">
        <v>2.5733360648155214E-2</v>
      </c>
      <c r="J198" s="162">
        <v>6.6265493631362934E-3</v>
      </c>
      <c r="K198" s="162">
        <v>-7.2062209248542775E-3</v>
      </c>
      <c r="L198" s="162">
        <v>-2.2076134383678434E-2</v>
      </c>
    </row>
    <row r="199" spans="6:12" outlineLevel="1" x14ac:dyDescent="0.15">
      <c r="F199" s="234"/>
      <c r="G199" s="34">
        <f t="shared" si="82"/>
        <v>14</v>
      </c>
      <c r="H199" s="162">
        <v>3.8513937592506417E-2</v>
      </c>
      <c r="I199" s="162">
        <v>1.6256764531135559E-2</v>
      </c>
      <c r="J199" s="162">
        <v>-8.2045793533325216E-6</v>
      </c>
      <c r="K199" s="162">
        <v>-1.3547895848751068E-2</v>
      </c>
      <c r="L199" s="162">
        <v>-2.6982851326465614E-2</v>
      </c>
    </row>
    <row r="200" spans="6:12" outlineLevel="1" x14ac:dyDescent="0.15"/>
    <row r="201" spans="6:12" outlineLevel="1" x14ac:dyDescent="0.15"/>
    <row r="202" spans="6:12" ht="15.75" customHeight="1" outlineLevel="1" x14ac:dyDescent="0.15">
      <c r="F202" s="39" t="s">
        <v>9</v>
      </c>
      <c r="G202" s="39"/>
      <c r="H202" s="40"/>
      <c r="I202" s="40"/>
      <c r="J202" s="40"/>
      <c r="K202" s="40"/>
      <c r="L202" s="40"/>
    </row>
    <row r="203" spans="6:12" outlineLevel="1" x14ac:dyDescent="0.15">
      <c r="H203" s="32" t="s">
        <v>104</v>
      </c>
      <c r="I203" s="32"/>
      <c r="J203" s="32"/>
      <c r="K203" s="32"/>
      <c r="L203" s="32"/>
    </row>
    <row r="204" spans="6:12" outlineLevel="1" x14ac:dyDescent="0.15">
      <c r="G204" s="41">
        <f>E183</f>
        <v>9.8677708758324005</v>
      </c>
      <c r="H204" s="164">
        <v>72.75</v>
      </c>
      <c r="I204" s="161">
        <f>H204+4</f>
        <v>76.75</v>
      </c>
      <c r="J204" s="161">
        <f t="shared" ref="J204:L204" si="83">I204+4</f>
        <v>80.75</v>
      </c>
      <c r="K204" s="161">
        <f t="shared" si="83"/>
        <v>84.75</v>
      </c>
      <c r="L204" s="161">
        <f t="shared" si="83"/>
        <v>88.75</v>
      </c>
    </row>
    <row r="205" spans="6:12" outlineLevel="1" x14ac:dyDescent="0.15">
      <c r="F205" s="234" t="s">
        <v>105</v>
      </c>
      <c r="G205" s="165">
        <v>50</v>
      </c>
      <c r="H205" s="224">
        <f t="dataTable" ref="H205:L212" dt2D="1" dtr="1" r1="P17" r2="R17"/>
        <v>9.8677708758324005</v>
      </c>
      <c r="I205" s="224">
        <v>6.6673935444005261</v>
      </c>
      <c r="J205" s="224">
        <v>5.2303926745598472</v>
      </c>
      <c r="K205" s="224">
        <v>4.2513153932463759</v>
      </c>
      <c r="L205" s="224">
        <v>3.5809114768957317</v>
      </c>
    </row>
    <row r="206" spans="6:12" outlineLevel="1" x14ac:dyDescent="0.15">
      <c r="F206" s="234"/>
      <c r="G206" s="166">
        <f>G205-5</f>
        <v>45</v>
      </c>
      <c r="H206" s="225">
        <v>9.8677708758324005</v>
      </c>
      <c r="I206" s="225">
        <v>6.6673935444005261</v>
      </c>
      <c r="J206" s="225">
        <v>5.2303926745598472</v>
      </c>
      <c r="K206" s="225">
        <v>4.2513153932463759</v>
      </c>
      <c r="L206" s="225">
        <v>3.5809114768957317</v>
      </c>
    </row>
    <row r="207" spans="6:12" outlineLevel="1" x14ac:dyDescent="0.15">
      <c r="F207" s="234"/>
      <c r="G207" s="166">
        <f t="shared" ref="G207:G212" si="84">G206-5</f>
        <v>40</v>
      </c>
      <c r="H207" s="225">
        <v>9.8677708758324005</v>
      </c>
      <c r="I207" s="225">
        <v>6.6673935444005261</v>
      </c>
      <c r="J207" s="225">
        <v>5.2303926745598472</v>
      </c>
      <c r="K207" s="225">
        <v>4.2513153932463759</v>
      </c>
      <c r="L207" s="225">
        <v>3.5809114768957317</v>
      </c>
    </row>
    <row r="208" spans="6:12" outlineLevel="1" x14ac:dyDescent="0.15">
      <c r="F208" s="234"/>
      <c r="G208" s="166">
        <f t="shared" si="84"/>
        <v>35</v>
      </c>
      <c r="H208" s="225">
        <v>9.8677708758324005</v>
      </c>
      <c r="I208" s="226">
        <v>6.6673935444005261</v>
      </c>
      <c r="J208" s="226">
        <v>5.2303926745598472</v>
      </c>
      <c r="K208" s="226">
        <v>4.2513153932463759</v>
      </c>
      <c r="L208" s="225">
        <v>3.5809114768957317</v>
      </c>
    </row>
    <row r="209" spans="1:36" outlineLevel="1" x14ac:dyDescent="0.15">
      <c r="F209" s="234"/>
      <c r="G209" s="166">
        <f t="shared" si="84"/>
        <v>30</v>
      </c>
      <c r="H209" s="225">
        <v>9.8677708758324005</v>
      </c>
      <c r="I209" s="226">
        <v>6.6673935444005261</v>
      </c>
      <c r="J209" s="226">
        <v>5.2303926745598472</v>
      </c>
      <c r="K209" s="226">
        <v>4.2513153932463759</v>
      </c>
      <c r="L209" s="225">
        <v>3.5809114768957317</v>
      </c>
    </row>
    <row r="210" spans="1:36" outlineLevel="1" x14ac:dyDescent="0.15">
      <c r="F210" s="234"/>
      <c r="G210" s="166">
        <f t="shared" si="84"/>
        <v>25</v>
      </c>
      <c r="H210" s="225">
        <v>9.8677708758324005</v>
      </c>
      <c r="I210" s="226">
        <v>6.6673935444005261</v>
      </c>
      <c r="J210" s="226">
        <v>5.2303926745598472</v>
      </c>
      <c r="K210" s="226">
        <v>4.2513153932463759</v>
      </c>
      <c r="L210" s="225">
        <v>3.5809114768957317</v>
      </c>
    </row>
    <row r="211" spans="1:36" outlineLevel="1" x14ac:dyDescent="0.15">
      <c r="F211" s="234"/>
      <c r="G211" s="166">
        <f t="shared" si="84"/>
        <v>20</v>
      </c>
      <c r="H211" s="225">
        <v>9.8677708758324005</v>
      </c>
      <c r="I211" s="225">
        <v>6.6673935444005261</v>
      </c>
      <c r="J211" s="225">
        <v>5.2303926745598472</v>
      </c>
      <c r="K211" s="225">
        <v>4.2513153932463759</v>
      </c>
      <c r="L211" s="225">
        <v>3.5809114768957317</v>
      </c>
    </row>
    <row r="212" spans="1:36" outlineLevel="1" x14ac:dyDescent="0.15">
      <c r="F212" s="234"/>
      <c r="G212" s="166">
        <f t="shared" si="84"/>
        <v>15</v>
      </c>
      <c r="H212" s="225">
        <v>9.8479391221418773</v>
      </c>
      <c r="I212" s="225">
        <v>6.6673935444005261</v>
      </c>
      <c r="J212" s="225">
        <v>5.2303926745598472</v>
      </c>
      <c r="K212" s="225">
        <v>4.2513153932463759</v>
      </c>
      <c r="L212" s="225">
        <v>3.5809114768957317</v>
      </c>
    </row>
    <row r="213" spans="1:36" outlineLevel="1" x14ac:dyDescent="0.15">
      <c r="G213" s="44"/>
      <c r="H213" s="14"/>
      <c r="I213" s="14"/>
      <c r="J213" s="14"/>
      <c r="K213" s="14"/>
      <c r="L213" s="14"/>
    </row>
    <row r="215" spans="1:36" s="38" customFormat="1" ht="18.75" customHeight="1" x14ac:dyDescent="0.2">
      <c r="A215" s="4" t="s">
        <v>11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s="17" customFormat="1" ht="24" customHeight="1" outlineLevel="1" x14ac:dyDescent="0.2">
      <c r="G216" s="167">
        <f>G2</f>
        <v>44012</v>
      </c>
      <c r="H216" s="167">
        <f t="shared" ref="H216:AJ216" si="85">H2</f>
        <v>44377</v>
      </c>
      <c r="I216" s="167">
        <f t="shared" si="85"/>
        <v>44742</v>
      </c>
      <c r="J216" s="167">
        <f t="shared" si="85"/>
        <v>45107</v>
      </c>
      <c r="K216" s="167">
        <f t="shared" si="85"/>
        <v>45473</v>
      </c>
      <c r="L216" s="167">
        <f t="shared" si="85"/>
        <v>45838</v>
      </c>
      <c r="M216" s="167">
        <f t="shared" si="85"/>
        <v>46203</v>
      </c>
      <c r="N216" s="167">
        <f t="shared" si="85"/>
        <v>46568</v>
      </c>
      <c r="O216" s="167">
        <f t="shared" si="85"/>
        <v>46934</v>
      </c>
      <c r="P216" s="167">
        <f t="shared" si="85"/>
        <v>47299</v>
      </c>
      <c r="Q216" s="167">
        <f t="shared" si="85"/>
        <v>47664</v>
      </c>
      <c r="R216" s="167">
        <f t="shared" si="85"/>
        <v>48029</v>
      </c>
      <c r="S216" s="167">
        <f t="shared" si="85"/>
        <v>48395</v>
      </c>
      <c r="T216" s="167">
        <f t="shared" si="85"/>
        <v>48760</v>
      </c>
      <c r="U216" s="167">
        <f t="shared" si="85"/>
        <v>49125</v>
      </c>
      <c r="V216" s="167">
        <f t="shared" si="85"/>
        <v>49490</v>
      </c>
      <c r="W216" s="167">
        <f t="shared" si="85"/>
        <v>49856</v>
      </c>
      <c r="X216" s="167">
        <f t="shared" si="85"/>
        <v>50221</v>
      </c>
      <c r="Y216" s="167">
        <f t="shared" si="85"/>
        <v>50586</v>
      </c>
      <c r="Z216" s="167">
        <f t="shared" si="85"/>
        <v>50951</v>
      </c>
      <c r="AA216" s="167">
        <f t="shared" si="85"/>
        <v>51317</v>
      </c>
      <c r="AB216" s="167">
        <f t="shared" si="85"/>
        <v>51682</v>
      </c>
      <c r="AC216" s="167">
        <f t="shared" si="85"/>
        <v>52047</v>
      </c>
      <c r="AD216" s="167">
        <f t="shared" si="85"/>
        <v>52412</v>
      </c>
      <c r="AE216" s="167">
        <f t="shared" si="85"/>
        <v>52778</v>
      </c>
      <c r="AF216" s="167">
        <f t="shared" si="85"/>
        <v>53143</v>
      </c>
      <c r="AG216" s="167">
        <f t="shared" si="85"/>
        <v>53508</v>
      </c>
      <c r="AH216" s="167">
        <f t="shared" si="85"/>
        <v>53873</v>
      </c>
      <c r="AI216" s="167">
        <f t="shared" si="85"/>
        <v>54239</v>
      </c>
      <c r="AJ216" s="167">
        <f t="shared" si="85"/>
        <v>54604</v>
      </c>
    </row>
    <row r="217" spans="1:36" s="17" customFormat="1" outlineLevel="1" x14ac:dyDescent="0.15">
      <c r="A217" s="42" t="s">
        <v>58</v>
      </c>
      <c r="B217" s="42"/>
      <c r="C217" s="42"/>
      <c r="D217" s="42"/>
      <c r="E217" s="42"/>
      <c r="F217" s="42"/>
      <c r="G217" s="43">
        <f>G58</f>
        <v>3664417.5000000005</v>
      </c>
      <c r="H217" s="43">
        <f t="shared" ref="H217:AJ217" si="86">H58</f>
        <v>3646095.4125000006</v>
      </c>
      <c r="I217" s="43">
        <f t="shared" si="86"/>
        <v>3627773.3250000007</v>
      </c>
      <c r="J217" s="43">
        <f t="shared" si="86"/>
        <v>3609451.2375000003</v>
      </c>
      <c r="K217" s="43">
        <f t="shared" si="86"/>
        <v>3591129.1500000004</v>
      </c>
      <c r="L217" s="43">
        <f t="shared" si="86"/>
        <v>3572807.0625000005</v>
      </c>
      <c r="M217" s="43">
        <f t="shared" si="86"/>
        <v>3554484.9750000006</v>
      </c>
      <c r="N217" s="43">
        <f t="shared" si="86"/>
        <v>3536162.8875000002</v>
      </c>
      <c r="O217" s="43">
        <f t="shared" si="86"/>
        <v>3517840.8000000003</v>
      </c>
      <c r="P217" s="43">
        <f t="shared" si="86"/>
        <v>3499518.7125000004</v>
      </c>
      <c r="Q217" s="43">
        <f t="shared" si="86"/>
        <v>3481196.6250000005</v>
      </c>
      <c r="R217" s="43">
        <f t="shared" si="86"/>
        <v>3462874.5375000001</v>
      </c>
      <c r="S217" s="43">
        <f t="shared" si="86"/>
        <v>3444552.45</v>
      </c>
      <c r="T217" s="43">
        <f t="shared" si="86"/>
        <v>3426230.3625000007</v>
      </c>
      <c r="U217" s="43">
        <f t="shared" si="86"/>
        <v>3407908.2750000004</v>
      </c>
      <c r="V217" s="43">
        <f t="shared" si="86"/>
        <v>3389586.1875000005</v>
      </c>
      <c r="W217" s="43">
        <f t="shared" si="86"/>
        <v>3371264.1000000006</v>
      </c>
      <c r="X217" s="43">
        <f t="shared" si="86"/>
        <v>3352942.0125000007</v>
      </c>
      <c r="Y217" s="43">
        <f t="shared" si="86"/>
        <v>3334619.9250000007</v>
      </c>
      <c r="Z217" s="43">
        <f t="shared" si="86"/>
        <v>3316297.8375000004</v>
      </c>
      <c r="AA217" s="43">
        <f t="shared" si="86"/>
        <v>1586655.0000000002</v>
      </c>
      <c r="AB217" s="43">
        <f t="shared" si="86"/>
        <v>1577840.2500000002</v>
      </c>
      <c r="AC217" s="43">
        <f t="shared" si="86"/>
        <v>1569025.5000000005</v>
      </c>
      <c r="AD217" s="43">
        <f t="shared" si="86"/>
        <v>1560210.7500000002</v>
      </c>
      <c r="AE217" s="43">
        <f t="shared" si="86"/>
        <v>1551396.0000000002</v>
      </c>
      <c r="AF217" s="43">
        <f t="shared" si="86"/>
        <v>1542581.2500000002</v>
      </c>
      <c r="AG217" s="43">
        <f t="shared" si="86"/>
        <v>1533766.5000000002</v>
      </c>
      <c r="AH217" s="43">
        <f t="shared" si="86"/>
        <v>1524951.75</v>
      </c>
      <c r="AI217" s="43">
        <f t="shared" si="86"/>
        <v>1516137.0000000002</v>
      </c>
      <c r="AJ217" s="43">
        <f t="shared" si="86"/>
        <v>1507322.2500000002</v>
      </c>
    </row>
    <row r="218" spans="1:36" s="17" customFormat="1" outlineLevel="1" x14ac:dyDescent="0.15">
      <c r="A218" s="17" t="s">
        <v>65</v>
      </c>
      <c r="G218" s="168">
        <f>-G70</f>
        <v>821100</v>
      </c>
      <c r="H218" s="168">
        <f t="shared" ref="H218:AJ218" si="87">-H70</f>
        <v>837522</v>
      </c>
      <c r="I218" s="168">
        <f t="shared" si="87"/>
        <v>854272.44000000006</v>
      </c>
      <c r="J218" s="168">
        <f t="shared" si="87"/>
        <v>871357.88880000007</v>
      </c>
      <c r="K218" s="168">
        <f t="shared" si="87"/>
        <v>888785.04657600005</v>
      </c>
      <c r="L218" s="168">
        <f t="shared" si="87"/>
        <v>906560.74750752002</v>
      </c>
      <c r="M218" s="168">
        <f t="shared" si="87"/>
        <v>924691.96245767048</v>
      </c>
      <c r="N218" s="168">
        <f t="shared" si="87"/>
        <v>943185.80170682387</v>
      </c>
      <c r="O218" s="168">
        <f t="shared" si="87"/>
        <v>962049.51774096012</v>
      </c>
      <c r="P218" s="168">
        <f t="shared" si="87"/>
        <v>981290.50809577946</v>
      </c>
      <c r="Q218" s="168">
        <f t="shared" si="87"/>
        <v>1000916.3182576951</v>
      </c>
      <c r="R218" s="168">
        <f t="shared" si="87"/>
        <v>1020934.6446228487</v>
      </c>
      <c r="S218" s="168">
        <f t="shared" si="87"/>
        <v>1041353.337515306</v>
      </c>
      <c r="T218" s="168">
        <f t="shared" si="87"/>
        <v>1062180.4042656119</v>
      </c>
      <c r="U218" s="168">
        <f t="shared" si="87"/>
        <v>1083424.0123509243</v>
      </c>
      <c r="V218" s="168">
        <f t="shared" si="87"/>
        <v>1062697.6399407324</v>
      </c>
      <c r="W218" s="168">
        <f t="shared" si="87"/>
        <v>1083951.5927395474</v>
      </c>
      <c r="X218" s="168">
        <f t="shared" si="87"/>
        <v>1105630.6245943385</v>
      </c>
      <c r="Y218" s="168">
        <f t="shared" si="87"/>
        <v>1127743.2370862251</v>
      </c>
      <c r="Z218" s="168">
        <f t="shared" si="87"/>
        <v>1150298.1018279495</v>
      </c>
      <c r="AA218" s="168">
        <f t="shared" si="87"/>
        <v>1251316.302153372</v>
      </c>
      <c r="AB218" s="168">
        <f t="shared" si="87"/>
        <v>1276342.6281964395</v>
      </c>
      <c r="AC218" s="168">
        <f t="shared" si="87"/>
        <v>1301869.4807603683</v>
      </c>
      <c r="AD218" s="168">
        <f t="shared" si="87"/>
        <v>1327906.8703755753</v>
      </c>
      <c r="AE218" s="168">
        <f t="shared" si="87"/>
        <v>1354465.007783087</v>
      </c>
      <c r="AF218" s="168">
        <f t="shared" si="87"/>
        <v>1381554.307938749</v>
      </c>
      <c r="AG218" s="168">
        <f t="shared" si="87"/>
        <v>1409185.394097524</v>
      </c>
      <c r="AH218" s="168">
        <f t="shared" si="87"/>
        <v>1437369.1019794741</v>
      </c>
      <c r="AI218" s="168">
        <f t="shared" si="87"/>
        <v>1466116.4840190639</v>
      </c>
      <c r="AJ218" s="168">
        <f t="shared" si="87"/>
        <v>1495438.813699445</v>
      </c>
    </row>
    <row r="219" spans="1:36" s="17" customFormat="1" outlineLevel="1" x14ac:dyDescent="0.15">
      <c r="A219" s="17" t="s">
        <v>2</v>
      </c>
      <c r="G219" s="168">
        <f>G73</f>
        <v>2843317.5000000005</v>
      </c>
      <c r="H219" s="168">
        <f t="shared" ref="H219:AJ219" si="88">H73</f>
        <v>2808573.4125000006</v>
      </c>
      <c r="I219" s="168">
        <f t="shared" si="88"/>
        <v>2773500.8850000007</v>
      </c>
      <c r="J219" s="168">
        <f t="shared" si="88"/>
        <v>2738093.3487</v>
      </c>
      <c r="K219" s="168">
        <f t="shared" si="88"/>
        <v>2702344.1034240006</v>
      </c>
      <c r="L219" s="168">
        <f t="shared" si="88"/>
        <v>2666246.3149924804</v>
      </c>
      <c r="M219" s="168">
        <f t="shared" si="88"/>
        <v>2629793.0125423302</v>
      </c>
      <c r="N219" s="168">
        <f t="shared" si="88"/>
        <v>2592977.0857931762</v>
      </c>
      <c r="O219" s="168">
        <f t="shared" si="88"/>
        <v>2555791.28225904</v>
      </c>
      <c r="P219" s="168">
        <f t="shared" si="88"/>
        <v>2518228.2044042209</v>
      </c>
      <c r="Q219" s="168">
        <f t="shared" si="88"/>
        <v>2480280.3067423054</v>
      </c>
      <c r="R219" s="168">
        <f t="shared" si="88"/>
        <v>2441939.8928771513</v>
      </c>
      <c r="S219" s="168">
        <f t="shared" si="88"/>
        <v>2403199.1124846945</v>
      </c>
      <c r="T219" s="168">
        <f t="shared" si="88"/>
        <v>2364049.9582343888</v>
      </c>
      <c r="U219" s="168">
        <f t="shared" si="88"/>
        <v>2324484.2626490761</v>
      </c>
      <c r="V219" s="168">
        <f t="shared" si="88"/>
        <v>2326888.5475592678</v>
      </c>
      <c r="W219" s="168">
        <f t="shared" si="88"/>
        <v>2287312.507260453</v>
      </c>
      <c r="X219" s="168">
        <f t="shared" si="88"/>
        <v>2247311.3879056619</v>
      </c>
      <c r="Y219" s="168">
        <f t="shared" si="88"/>
        <v>2206876.6879137754</v>
      </c>
      <c r="Z219" s="168">
        <f t="shared" si="88"/>
        <v>2165999.7356720511</v>
      </c>
      <c r="AA219" s="168">
        <f t="shared" si="88"/>
        <v>335338.69784662826</v>
      </c>
      <c r="AB219" s="168">
        <f t="shared" si="88"/>
        <v>301497.62180356076</v>
      </c>
      <c r="AC219" s="168">
        <f t="shared" si="88"/>
        <v>267156.01923963218</v>
      </c>
      <c r="AD219" s="168">
        <f t="shared" si="88"/>
        <v>232303.87962442497</v>
      </c>
      <c r="AE219" s="168">
        <f t="shared" si="88"/>
        <v>196930.99221691326</v>
      </c>
      <c r="AF219" s="168">
        <f t="shared" si="88"/>
        <v>161026.94206125126</v>
      </c>
      <c r="AG219" s="168">
        <f t="shared" si="88"/>
        <v>124581.10590247624</v>
      </c>
      <c r="AH219" s="168">
        <f t="shared" si="88"/>
        <v>87582.648020525929</v>
      </c>
      <c r="AI219" s="168">
        <f t="shared" si="88"/>
        <v>50020.515980936354</v>
      </c>
      <c r="AJ219" s="168">
        <f t="shared" si="88"/>
        <v>11883.436300555244</v>
      </c>
    </row>
    <row r="220" spans="1:36" s="17" customFormat="1" outlineLevel="1" x14ac:dyDescent="0.15">
      <c r="A220" s="17" t="s">
        <v>106</v>
      </c>
      <c r="G220" s="168">
        <f>G162</f>
        <v>2843317.5000000005</v>
      </c>
      <c r="H220" s="168">
        <f t="shared" ref="H220:AJ220" si="89">H162</f>
        <v>2808573.4125000006</v>
      </c>
      <c r="I220" s="168">
        <f t="shared" si="89"/>
        <v>2773500.8850000007</v>
      </c>
      <c r="J220" s="168">
        <f t="shared" si="89"/>
        <v>2738093.3487</v>
      </c>
      <c r="K220" s="168">
        <f t="shared" si="89"/>
        <v>2702344.1034240006</v>
      </c>
      <c r="L220" s="168">
        <f t="shared" si="89"/>
        <v>2666246.3149924804</v>
      </c>
      <c r="M220" s="168">
        <f t="shared" si="89"/>
        <v>2629793.0125423302</v>
      </c>
      <c r="N220" s="168">
        <f t="shared" si="89"/>
        <v>2592977.0857931762</v>
      </c>
      <c r="O220" s="168">
        <f t="shared" si="89"/>
        <v>2555791.28225904</v>
      </c>
      <c r="P220" s="168">
        <f t="shared" si="89"/>
        <v>2518228.2044042209</v>
      </c>
      <c r="Q220" s="168">
        <f t="shared" si="89"/>
        <v>2480280.3067423054</v>
      </c>
      <c r="R220" s="168">
        <f t="shared" si="89"/>
        <v>2441939.8928771513</v>
      </c>
      <c r="S220" s="168">
        <f t="shared" si="89"/>
        <v>2403199.1124846945</v>
      </c>
      <c r="T220" s="168">
        <f t="shared" si="89"/>
        <v>2364049.9582343888</v>
      </c>
      <c r="U220" s="168">
        <f t="shared" si="89"/>
        <v>2324484.2626490761</v>
      </c>
      <c r="V220" s="168">
        <f t="shared" si="89"/>
        <v>2326888.5475592678</v>
      </c>
      <c r="W220" s="168">
        <f t="shared" si="89"/>
        <v>2287312.507260453</v>
      </c>
      <c r="X220" s="168">
        <f t="shared" si="89"/>
        <v>2247311.3879056619</v>
      </c>
      <c r="Y220" s="168">
        <f t="shared" si="89"/>
        <v>2206876.6879137754</v>
      </c>
      <c r="Z220" s="168">
        <f t="shared" si="89"/>
        <v>2165999.7356720511</v>
      </c>
      <c r="AA220" s="168">
        <f t="shared" si="89"/>
        <v>335338.69784662826</v>
      </c>
      <c r="AB220" s="168">
        <f t="shared" si="89"/>
        <v>301497.62180356076</v>
      </c>
      <c r="AC220" s="168">
        <f t="shared" si="89"/>
        <v>267156.01923963218</v>
      </c>
      <c r="AD220" s="168">
        <f t="shared" si="89"/>
        <v>232303.87962442497</v>
      </c>
      <c r="AE220" s="168">
        <f t="shared" si="89"/>
        <v>196930.99221691326</v>
      </c>
      <c r="AF220" s="168">
        <f t="shared" si="89"/>
        <v>161026.94206125126</v>
      </c>
      <c r="AG220" s="168">
        <f t="shared" si="89"/>
        <v>124581.10590247624</v>
      </c>
      <c r="AH220" s="168">
        <f t="shared" si="89"/>
        <v>87582.648020525929</v>
      </c>
      <c r="AI220" s="168">
        <f t="shared" si="89"/>
        <v>50020.515980936354</v>
      </c>
      <c r="AJ220" s="168">
        <f t="shared" si="89"/>
        <v>11883.436300555244</v>
      </c>
    </row>
    <row r="221" spans="1:36" s="17" customFormat="1" outlineLevel="1" x14ac:dyDescent="0.15">
      <c r="A221" s="17" t="s">
        <v>107</v>
      </c>
      <c r="G221" s="169">
        <f>MAX(G56,G57)</f>
        <v>72.75</v>
      </c>
      <c r="H221" s="169">
        <f t="shared" ref="H221:AJ221" si="90">MAX(H56,H57)</f>
        <v>72.75</v>
      </c>
      <c r="I221" s="169">
        <f t="shared" si="90"/>
        <v>72.75</v>
      </c>
      <c r="J221" s="169">
        <f t="shared" si="90"/>
        <v>72.75</v>
      </c>
      <c r="K221" s="169">
        <f t="shared" si="90"/>
        <v>72.75</v>
      </c>
      <c r="L221" s="169">
        <f t="shared" si="90"/>
        <v>72.75</v>
      </c>
      <c r="M221" s="169">
        <f t="shared" si="90"/>
        <v>72.75</v>
      </c>
      <c r="N221" s="169">
        <f t="shared" si="90"/>
        <v>72.75</v>
      </c>
      <c r="O221" s="169">
        <f t="shared" si="90"/>
        <v>72.75</v>
      </c>
      <c r="P221" s="169">
        <f t="shared" si="90"/>
        <v>72.75</v>
      </c>
      <c r="Q221" s="169">
        <f t="shared" si="90"/>
        <v>72.75</v>
      </c>
      <c r="R221" s="169">
        <f t="shared" si="90"/>
        <v>72.75</v>
      </c>
      <c r="S221" s="169">
        <f t="shared" si="90"/>
        <v>72.75</v>
      </c>
      <c r="T221" s="169">
        <f t="shared" si="90"/>
        <v>72.75</v>
      </c>
      <c r="U221" s="169">
        <f t="shared" si="90"/>
        <v>72.75</v>
      </c>
      <c r="V221" s="169">
        <f t="shared" si="90"/>
        <v>72.75</v>
      </c>
      <c r="W221" s="169">
        <f t="shared" si="90"/>
        <v>72.75</v>
      </c>
      <c r="X221" s="169">
        <f t="shared" si="90"/>
        <v>72.75</v>
      </c>
      <c r="Y221" s="169">
        <f t="shared" si="90"/>
        <v>72.75</v>
      </c>
      <c r="Z221" s="169">
        <f t="shared" si="90"/>
        <v>72.75</v>
      </c>
      <c r="AA221" s="169">
        <f t="shared" si="90"/>
        <v>35</v>
      </c>
      <c r="AB221" s="169">
        <f t="shared" si="90"/>
        <v>35</v>
      </c>
      <c r="AC221" s="169">
        <f t="shared" si="90"/>
        <v>35</v>
      </c>
      <c r="AD221" s="169">
        <f t="shared" si="90"/>
        <v>35</v>
      </c>
      <c r="AE221" s="169">
        <f t="shared" si="90"/>
        <v>35</v>
      </c>
      <c r="AF221" s="169">
        <f t="shared" si="90"/>
        <v>35</v>
      </c>
      <c r="AG221" s="169">
        <f t="shared" si="90"/>
        <v>35</v>
      </c>
      <c r="AH221" s="169">
        <f t="shared" si="90"/>
        <v>35</v>
      </c>
      <c r="AI221" s="169">
        <f t="shared" si="90"/>
        <v>35</v>
      </c>
      <c r="AJ221" s="169">
        <f t="shared" si="90"/>
        <v>35</v>
      </c>
    </row>
    <row r="222" spans="1:36" s="17" customFormat="1" outlineLevel="1" x14ac:dyDescent="0.15"/>
    <row r="223" spans="1:36" s="17" customFormat="1" outlineLevel="1" x14ac:dyDescent="0.15">
      <c r="B223" s="235" t="s">
        <v>108</v>
      </c>
      <c r="C223" s="236"/>
      <c r="D223" s="237"/>
      <c r="E223" s="238" t="s">
        <v>109</v>
      </c>
      <c r="F223" s="236"/>
      <c r="G223" s="239"/>
    </row>
    <row r="224" spans="1:36" s="17" customFormat="1" outlineLevel="1" x14ac:dyDescent="0.15">
      <c r="B224" s="170" t="s">
        <v>110</v>
      </c>
      <c r="D224" s="172">
        <f>G99</f>
        <v>23669373.045204047</v>
      </c>
      <c r="E224" s="185" t="str">
        <f>I12</f>
        <v>EPC Contract</v>
      </c>
      <c r="F224" s="42"/>
      <c r="G224" s="186">
        <f>K12</f>
        <v>24675000</v>
      </c>
    </row>
    <row r="225" spans="2:7" s="17" customFormat="1" outlineLevel="1" x14ac:dyDescent="0.15">
      <c r="B225" s="170" t="s">
        <v>111</v>
      </c>
      <c r="D225" s="172">
        <f>G233-D224</f>
        <v>6869302.7510314509</v>
      </c>
      <c r="E225" s="170" t="str">
        <f t="shared" ref="E225:E232" si="91">I13</f>
        <v>Land</v>
      </c>
      <c r="G225" s="171">
        <f t="shared" ref="G225:G232" si="92">K13</f>
        <v>0</v>
      </c>
    </row>
    <row r="226" spans="2:7" s="17" customFormat="1" outlineLevel="1" x14ac:dyDescent="0.15">
      <c r="B226" s="170"/>
      <c r="D226" s="172"/>
      <c r="E226" s="170" t="str">
        <f t="shared" si="91"/>
        <v>Other Costs</v>
      </c>
      <c r="G226" s="171">
        <f t="shared" si="92"/>
        <v>780000</v>
      </c>
    </row>
    <row r="227" spans="2:7" s="17" customFormat="1" outlineLevel="1" x14ac:dyDescent="0.15">
      <c r="B227" s="170"/>
      <c r="D227" s="172"/>
      <c r="E227" s="170" t="str">
        <f t="shared" si="91"/>
        <v>Interconnection Costs</v>
      </c>
      <c r="G227" s="171">
        <f t="shared" si="92"/>
        <v>1350000</v>
      </c>
    </row>
    <row r="228" spans="2:7" s="17" customFormat="1" outlineLevel="1" x14ac:dyDescent="0.15">
      <c r="B228" s="170"/>
      <c r="D228" s="172"/>
      <c r="E228" s="170" t="str">
        <f t="shared" si="91"/>
        <v>Acquisition Costs</v>
      </c>
      <c r="G228" s="171">
        <f t="shared" si="92"/>
        <v>530594.79623549932</v>
      </c>
    </row>
    <row r="229" spans="2:7" s="17" customFormat="1" outlineLevel="1" x14ac:dyDescent="0.15">
      <c r="B229" s="170"/>
      <c r="D229" s="172"/>
      <c r="E229" s="170" t="str">
        <f t="shared" si="91"/>
        <v>Transaction Costs</v>
      </c>
      <c r="G229" s="171">
        <f t="shared" si="92"/>
        <v>450000</v>
      </c>
    </row>
    <row r="230" spans="2:7" s="17" customFormat="1" outlineLevel="1" x14ac:dyDescent="0.15">
      <c r="B230" s="170"/>
      <c r="D230" s="172"/>
      <c r="E230" s="170" t="str">
        <f t="shared" si="91"/>
        <v>Arrangement costs</v>
      </c>
      <c r="G230" s="171">
        <f t="shared" si="92"/>
        <v>200000</v>
      </c>
    </row>
    <row r="231" spans="2:7" s="17" customFormat="1" outlineLevel="1" x14ac:dyDescent="0.15">
      <c r="B231" s="170"/>
      <c r="D231" s="172"/>
      <c r="E231" s="170" t="str">
        <f t="shared" si="91"/>
        <v>Debt service reserve account</v>
      </c>
      <c r="G231" s="171">
        <f t="shared" si="92"/>
        <v>1053081</v>
      </c>
    </row>
    <row r="232" spans="2:7" s="17" customFormat="1" outlineLevel="1" x14ac:dyDescent="0.15">
      <c r="B232" s="187"/>
      <c r="C232" s="188"/>
      <c r="D232" s="188"/>
      <c r="E232" s="187" t="str">
        <f t="shared" si="91"/>
        <v>Contingency</v>
      </c>
      <c r="F232" s="188"/>
      <c r="G232" s="229">
        <f t="shared" si="92"/>
        <v>1500000</v>
      </c>
    </row>
    <row r="233" spans="2:7" s="17" customFormat="1" outlineLevel="1" x14ac:dyDescent="0.15">
      <c r="B233" s="190" t="s">
        <v>1</v>
      </c>
      <c r="C233" s="191"/>
      <c r="D233" s="192">
        <f>G233-D224</f>
        <v>6869302.7510314509</v>
      </c>
      <c r="E233" s="227" t="s">
        <v>1</v>
      </c>
      <c r="F233" s="191"/>
      <c r="G233" s="228">
        <f>SUM(G224:G232)</f>
        <v>30538675.796235498</v>
      </c>
    </row>
    <row r="234" spans="2:7" s="17" customFormat="1" outlineLevel="1" x14ac:dyDescent="0.15">
      <c r="D234" s="172"/>
      <c r="G234" s="172"/>
    </row>
    <row r="235" spans="2:7" s="17" customFormat="1" outlineLevel="1" x14ac:dyDescent="0.15">
      <c r="D235" s="172"/>
      <c r="G235" s="172"/>
    </row>
    <row r="236" spans="2:7" s="17" customFormat="1" outlineLevel="1" x14ac:dyDescent="0.15">
      <c r="D236" s="172"/>
      <c r="G236" s="172"/>
    </row>
    <row r="237" spans="2:7" s="17" customFormat="1" outlineLevel="1" x14ac:dyDescent="0.15">
      <c r="D237" s="172"/>
      <c r="G237" s="172"/>
    </row>
    <row r="238" spans="2:7" s="17" customFormat="1" outlineLevel="1" x14ac:dyDescent="0.15">
      <c r="D238" s="172"/>
      <c r="G238" s="172"/>
    </row>
    <row r="239" spans="2:7" s="17" customFormat="1" outlineLevel="1" x14ac:dyDescent="0.15">
      <c r="D239" s="172"/>
      <c r="G239" s="172"/>
    </row>
    <row r="240" spans="2:7" s="17" customFormat="1" outlineLevel="1" x14ac:dyDescent="0.15">
      <c r="D240" s="172"/>
      <c r="G240" s="172"/>
    </row>
    <row r="241" s="17" customFormat="1" outlineLevel="1" x14ac:dyDescent="0.15"/>
    <row r="242" s="17" customFormat="1" outlineLevel="1" x14ac:dyDescent="0.15"/>
    <row r="243" s="17" customFormat="1" outlineLevel="1" x14ac:dyDescent="0.15"/>
    <row r="244" s="17" customFormat="1" outlineLevel="1" x14ac:dyDescent="0.15"/>
    <row r="245" s="17" customFormat="1" outlineLevel="1" x14ac:dyDescent="0.15"/>
    <row r="246" s="17" customFormat="1" outlineLevel="1" x14ac:dyDescent="0.15"/>
    <row r="247" s="17" customFormat="1" outlineLevel="1" x14ac:dyDescent="0.15"/>
    <row r="248" s="17" customFormat="1" outlineLevel="1" x14ac:dyDescent="0.15"/>
    <row r="249" s="17" customFormat="1" outlineLevel="1" x14ac:dyDescent="0.15"/>
    <row r="250" s="17" customFormat="1" outlineLevel="1" x14ac:dyDescent="0.15"/>
    <row r="251" s="17" customFormat="1" outlineLevel="1" x14ac:dyDescent="0.15"/>
    <row r="252" s="17" customFormat="1" outlineLevel="1" x14ac:dyDescent="0.15"/>
    <row r="253" s="17" customFormat="1" outlineLevel="1" x14ac:dyDescent="0.15"/>
    <row r="254" s="17" customFormat="1" outlineLevel="1" x14ac:dyDescent="0.15"/>
    <row r="255" s="17" customFormat="1" outlineLevel="1" x14ac:dyDescent="0.15"/>
    <row r="256" s="17" customFormat="1" outlineLevel="1" x14ac:dyDescent="0.15"/>
    <row r="257" s="17" customFormat="1" outlineLevel="1" x14ac:dyDescent="0.15"/>
    <row r="258" s="17" customFormat="1" outlineLevel="1" x14ac:dyDescent="0.15"/>
    <row r="259" s="17" customFormat="1" outlineLevel="1" x14ac:dyDescent="0.15"/>
    <row r="260" s="17" customFormat="1" outlineLevel="1" x14ac:dyDescent="0.15"/>
    <row r="261" s="17" customFormat="1" x14ac:dyDescent="0.15"/>
  </sheetData>
  <mergeCells count="9">
    <mergeCell ref="A7:AJ7"/>
    <mergeCell ref="F188:L188"/>
    <mergeCell ref="F191:F199"/>
    <mergeCell ref="F205:F212"/>
    <mergeCell ref="B223:D223"/>
    <mergeCell ref="E223:G223"/>
    <mergeCell ref="O14:R14"/>
    <mergeCell ref="Q15:R15"/>
    <mergeCell ref="O15:P15"/>
  </mergeCells>
  <conditionalFormatting sqref="A2">
    <cfRule type="containsText" dxfId="9" priority="12" operator="containsText" text="OK">
      <formula>NOT(ISERROR(SEARCH("OK",A2)))</formula>
    </cfRule>
    <cfRule type="containsText" dxfId="8" priority="13" operator="containsText" text="ERROR">
      <formula>NOT(ISERROR(SEARCH("ERROR",A2)))</formula>
    </cfRule>
  </conditionalFormatting>
  <conditionalFormatting sqref="E3:AJ3">
    <cfRule type="containsText" dxfId="7" priority="10" operator="containsText" text="OK">
      <formula>NOT(ISERROR(SEARCH("OK",#REF!)))</formula>
    </cfRule>
    <cfRule type="containsText" dxfId="6" priority="11" operator="containsText" text="ERROR">
      <formula>NOT(ISERROR(SEARCH("ERROR",#REF!)))</formula>
    </cfRule>
  </conditionalFormatting>
  <conditionalFormatting sqref="F96:F97">
    <cfRule type="cellIs" dxfId="5" priority="8" operator="equal">
      <formula>$G$99</formula>
    </cfRule>
  </conditionalFormatting>
  <conditionalFormatting sqref="G104:AJ104">
    <cfRule type="cellIs" dxfId="4" priority="5" operator="lessThan">
      <formula>$F$85</formula>
    </cfRule>
    <cfRule type="cellIs" dxfId="3" priority="7" operator="greaterThanOrEqual">
      <formula>$F$85</formula>
    </cfRule>
  </conditionalFormatting>
  <conditionalFormatting sqref="G105:AJ105">
    <cfRule type="cellIs" dxfId="2" priority="3" operator="lessThan">
      <formula>$F$91</formula>
    </cfRule>
    <cfRule type="cellIs" dxfId="1" priority="4" operator="greaterThanOrEqual">
      <formula>$F$91</formula>
    </cfRule>
  </conditionalFormatting>
  <conditionalFormatting sqref="H191:L199 H205:L212">
    <cfRule type="cellIs" dxfId="0" priority="16" operator="equal">
      <formula>$E$179</formula>
    </cfRule>
  </conditionalFormatting>
  <dataValidations disablePrompts="1" count="1">
    <dataValidation type="list" allowBlank="1" showInputMessage="1" showErrorMessage="1" sqref="F81:F84 G10" xr:uid="{D1124049-26F3-4B52-986E-8CF52AA1AD67}">
      <formula1>$E$13:$E$16</formula1>
    </dataValidation>
  </dataValidations>
  <pageMargins left="0.7" right="0.7" top="0.75" bottom="0.75" header="0.3" footer="0.3"/>
  <pageSetup paperSize="17" scale="75" orientation="landscape" r:id="rId1"/>
  <ignoredErrors>
    <ignoredError sqref="Q18:Q39 H78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Solar Model</vt:lpstr>
      <vt:lpstr>'Cover Page'!Print_Area</vt:lpstr>
      <vt:lpstr>'Solar Model'!Print_Titles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2016-06-09T21:00:03Z</cp:lastPrinted>
  <dcterms:created xsi:type="dcterms:W3CDTF">2016-03-28T18:22:40Z</dcterms:created>
  <dcterms:modified xsi:type="dcterms:W3CDTF">2026-03-02T07:39:07Z</dcterms:modified>
</cp:coreProperties>
</file>